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Start Here" sheetId="2" state="visible" r:id="rId4"/>
    <sheet name="L1 Simple Regression" sheetId="3" state="visible" r:id="rId5"/>
    <sheet name="L2 Multiple Regression" sheetId="4" state="visible" r:id="rId6"/>
    <sheet name="L3 Dummy Variables" sheetId="5" state="visible" r:id="rId7"/>
    <sheet name="Exercises" sheetId="6" state="visible" r:id="rId8"/>
    <sheet name="Answer Key" sheetId="7" state="visible" r:id="rId9"/>
  </sheets>
  <definedNames>
    <definedName function="false" hidden="false" name="comlang" vbProcedure="false">Data!$N$2:$N$201</definedName>
    <definedName function="false" hidden="false" name="contig" vbProcedure="false">Data!$M$2:$M$201</definedName>
    <definedName function="false" hidden="false" name="fta" vbProcedure="false">Data!$O$2:$O$201</definedName>
    <definedName function="false" hidden="false" name="ln_dist" vbProcedure="false">Data!$J$2:$J$201</definedName>
    <definedName function="false" hidden="false" name="ln_gdp_i" vbProcedure="false">Data!$K$2:$K$201</definedName>
    <definedName function="false" hidden="false" name="ln_gdp_j" vbProcedure="false">Data!$L$2:$L$201</definedName>
    <definedName function="false" hidden="false" name="ln_trade" vbProcedure="false">Data!$I$2:$I$201</definedName>
    <definedName function="false" hidden="false" name="X_full" vbProcedure="false">Data!$J$2:$O$201</definedName>
    <definedName function="false" hidden="false" name="X_grav" vbProcedure="false">Data!$J$2:$L$201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<sst xmlns="http://schemas.openxmlformats.org/spreadsheetml/2006/main" count="1034" uniqueCount="264">
  <si>
    <t xml:space="preserve">Exporter ISO</t>
  </si>
  <si>
    <t xml:space="preserve">Exporter</t>
  </si>
  <si>
    <t xml:space="preserve">Importer ISO</t>
  </si>
  <si>
    <t xml:space="preserve">Importer</t>
  </si>
  <si>
    <t xml:space="preserve">Trade (USD '000)</t>
  </si>
  <si>
    <t xml:space="preserve">GDP exporter (USD mn)</t>
  </si>
  <si>
    <t xml:space="preserve">GDP importer (USD mn)</t>
  </si>
  <si>
    <t xml:space="preserve">Distance (km)</t>
  </si>
  <si>
    <t xml:space="preserve">ln_trade  (Y)</t>
  </si>
  <si>
    <t xml:space="preserve">ln_dist</t>
  </si>
  <si>
    <t xml:space="preserve">ln_gdp_i</t>
  </si>
  <si>
    <t xml:space="preserve">ln_gdp_j</t>
  </si>
  <si>
    <t xml:space="preserve">contiguity</t>
  </si>
  <si>
    <t xml:space="preserve">common_language</t>
  </si>
  <si>
    <t xml:space="preserve">agree_fta</t>
  </si>
  <si>
    <t xml:space="preserve">colony_ever</t>
  </si>
  <si>
    <t xml:space="preserve">ITA</t>
  </si>
  <si>
    <t xml:space="preserve">Italy</t>
  </si>
  <si>
    <t xml:space="preserve">GBR</t>
  </si>
  <si>
    <t xml:space="preserve">United Kingdom</t>
  </si>
  <si>
    <t xml:space="preserve">BGD</t>
  </si>
  <si>
    <t xml:space="preserve">Bangladesh</t>
  </si>
  <si>
    <t xml:space="preserve">VNM</t>
  </si>
  <si>
    <t xml:space="preserve">Viet Nam</t>
  </si>
  <si>
    <t xml:space="preserve">BEL</t>
  </si>
  <si>
    <t xml:space="preserve">Belgium-Luxembourg</t>
  </si>
  <si>
    <t xml:space="preserve">FRA</t>
  </si>
  <si>
    <t xml:space="preserve">France</t>
  </si>
  <si>
    <t xml:space="preserve">SAU</t>
  </si>
  <si>
    <t xml:space="preserve">Saudi Arabia</t>
  </si>
  <si>
    <t xml:space="preserve">POL</t>
  </si>
  <si>
    <t xml:space="preserve">Poland</t>
  </si>
  <si>
    <t xml:space="preserve">CHN</t>
  </si>
  <si>
    <t xml:space="preserve">China</t>
  </si>
  <si>
    <t xml:space="preserve">THA</t>
  </si>
  <si>
    <t xml:space="preserve">Thailand</t>
  </si>
  <si>
    <t xml:space="preserve">IRQ</t>
  </si>
  <si>
    <t xml:space="preserve">Iraq</t>
  </si>
  <si>
    <t xml:space="preserve">DZA</t>
  </si>
  <si>
    <t xml:space="preserve">Algeria</t>
  </si>
  <si>
    <t xml:space="preserve">CHE</t>
  </si>
  <si>
    <t xml:space="preserve">Switzerland</t>
  </si>
  <si>
    <t xml:space="preserve">ESP</t>
  </si>
  <si>
    <t xml:space="preserve">Spain</t>
  </si>
  <si>
    <t xml:space="preserve">ROU</t>
  </si>
  <si>
    <t xml:space="preserve">Romania</t>
  </si>
  <si>
    <t xml:space="preserve">IDN</t>
  </si>
  <si>
    <t xml:space="preserve">Indonesia</t>
  </si>
  <si>
    <t xml:space="preserve">EGY</t>
  </si>
  <si>
    <t xml:space="preserve">Egypt</t>
  </si>
  <si>
    <t xml:space="preserve">TUR</t>
  </si>
  <si>
    <t xml:space="preserve">Turkey</t>
  </si>
  <si>
    <t xml:space="preserve">MYS</t>
  </si>
  <si>
    <t xml:space="preserve">Malaysia</t>
  </si>
  <si>
    <t xml:space="preserve">DEU</t>
  </si>
  <si>
    <t xml:space="preserve">Fmr Fed. Rep. of Germany</t>
  </si>
  <si>
    <t xml:space="preserve">RUS</t>
  </si>
  <si>
    <t xml:space="preserve">Russian Federation</t>
  </si>
  <si>
    <t xml:space="preserve">ARE</t>
  </si>
  <si>
    <t xml:space="preserve">United Arab Emirates</t>
  </si>
  <si>
    <t xml:space="preserve">SWE</t>
  </si>
  <si>
    <t xml:space="preserve">Sweden</t>
  </si>
  <si>
    <t xml:space="preserve">NLD</t>
  </si>
  <si>
    <t xml:space="preserve">Netherlands</t>
  </si>
  <si>
    <t xml:space="preserve">ARG</t>
  </si>
  <si>
    <t xml:space="preserve">Argentina</t>
  </si>
  <si>
    <t xml:space="preserve">BRA</t>
  </si>
  <si>
    <t xml:space="preserve">Brazil</t>
  </si>
  <si>
    <t xml:space="preserve">IRN</t>
  </si>
  <si>
    <t xml:space="preserve">Iran</t>
  </si>
  <si>
    <t xml:space="preserve">IND</t>
  </si>
  <si>
    <t xml:space="preserve">India</t>
  </si>
  <si>
    <t xml:space="preserve">PHL</t>
  </si>
  <si>
    <t xml:space="preserve">Philippines</t>
  </si>
  <si>
    <t xml:space="preserve">PAK</t>
  </si>
  <si>
    <t xml:space="preserve">Pakistan</t>
  </si>
  <si>
    <t xml:space="preserve">KOR</t>
  </si>
  <si>
    <t xml:space="preserve">Rep. of Korea</t>
  </si>
  <si>
    <t xml:space="preserve">JPN</t>
  </si>
  <si>
    <t xml:space="preserve">Japan</t>
  </si>
  <si>
    <t xml:space="preserve">CAN</t>
  </si>
  <si>
    <t xml:space="preserve">Canada</t>
  </si>
  <si>
    <t xml:space="preserve">NGA</t>
  </si>
  <si>
    <t xml:space="preserve">Nigeria</t>
  </si>
  <si>
    <t xml:space="preserve">USA</t>
  </si>
  <si>
    <t xml:space="preserve">ZAF</t>
  </si>
  <si>
    <t xml:space="preserve">So. African Customs Union</t>
  </si>
  <si>
    <t xml:space="preserve">AUS</t>
  </si>
  <si>
    <t xml:space="preserve">Australia</t>
  </si>
  <si>
    <t xml:space="preserve">MEX</t>
  </si>
  <si>
    <t xml:space="preserve">Mexico</t>
  </si>
  <si>
    <t xml:space="preserve">COL</t>
  </si>
  <si>
    <t xml:space="preserve">Colombia</t>
  </si>
  <si>
    <t xml:space="preserve">Linear Regression in Excel — Gravity Trade Workbook</t>
  </si>
  <si>
    <t xml:space="preserve">An applied lesson built on 200 real country-pair trade flows</t>
  </si>
  <si>
    <t xml:space="preserve">What this is.  A hands-on course in linear regression that you run yourself in Excel. Every number on the lesson tabs is a live formula. Change the data and the whole workbook recomputes. The data is real: 200 country-pair trade flows assembled from BACI 2022 (UN Comtrade harmonised trade) and the CEPII Gravity database.</t>
  </si>
  <si>
    <t xml:space="preserve">The question we will answer</t>
  </si>
  <si>
    <t xml:space="preserve">Why do some countries trade billions with each other and others almost nothing? The 'gravity model' of trade says two forces dominate: economic size (big economies trade more) and distance (far-apart countries trade less). We will test that claim with regression, one piece at a time, and read off exactly how big each force is.</t>
  </si>
  <si>
    <t xml:space="preserve">How the tabs work</t>
  </si>
  <si>
    <t xml:space="preserve">Tab</t>
  </si>
  <si>
    <t xml:space="preserve">What you do there</t>
  </si>
  <si>
    <t xml:space="preserve">Data</t>
  </si>
  <si>
    <t xml:space="preserve">The 200 observations. Columns I–O are the variables we model. Read-only; do not sort.</t>
  </si>
  <si>
    <t xml:space="preserve">L1 Simple Regression</t>
  </si>
  <si>
    <t xml:space="preserve">One predictor: does distance alone explain trade? SLOPE, INTERCEPT, RSQ, a chart with a trendline, and a prediction calculator.</t>
  </si>
  <si>
    <t xml:space="preserve">L2 Multiple Regression</t>
  </si>
  <si>
    <t xml:space="preserve">The gravity equation: distance plus both GDPs, estimated with LINEST. How to read the LINEST block and an output table.</t>
  </si>
  <si>
    <t xml:space="preserve">L3 Dummy Variables</t>
  </si>
  <si>
    <t xml:space="preserve">Add 0/1 indicators (shared border, common language, trade agreement) and learn to read them as percentage effects on trade.</t>
  </si>
  <si>
    <t xml:space="preserve">Exercises</t>
  </si>
  <si>
    <t xml:space="preserve">Five tasks. You write the formulas in the yellow cells.</t>
  </si>
  <si>
    <t xml:space="preserve">Answer Key</t>
  </si>
  <si>
    <t xml:space="preserve">Worked solutions plus the same models estimated in Python (statsmodels) so you can confirm Excel agrees.</t>
  </si>
  <si>
    <t xml:space="preserve">Excel functions you will use</t>
  </si>
  <si>
    <t xml:space="preserve">Function</t>
  </si>
  <si>
    <t xml:space="preserve">What it gives you</t>
  </si>
  <si>
    <t xml:space="preserve">=SLOPE(y, x)</t>
  </si>
  <si>
    <t xml:space="preserve">the regression slope (b) for one predictor</t>
  </si>
  <si>
    <t xml:space="preserve">=INTERCEPT(y, x)</t>
  </si>
  <si>
    <t xml:space="preserve">the intercept (a)</t>
  </si>
  <si>
    <t xml:space="preserve">=RSQ(y, x)</t>
  </si>
  <si>
    <t xml:space="preserve">R-squared: share of variation in y explained</t>
  </si>
  <si>
    <t xml:space="preserve">=CORREL(x, y)</t>
  </si>
  <si>
    <t xml:space="preserve">correlation between two columns</t>
  </si>
  <si>
    <t xml:space="preserve">=STEYX(y, x)</t>
  </si>
  <si>
    <t xml:space="preserve">standard error of the y estimate</t>
  </si>
  <si>
    <t xml:space="preserve">=LINEST(y, Xrange, TRUE, TRUE)</t>
  </si>
  <si>
    <t xml:space="preserve">full multiple-regression output as a 5-row block</t>
  </si>
  <si>
    <t xml:space="preserve">=INDEX(LINEST(...), row, col)</t>
  </si>
  <si>
    <t xml:space="preserve">pull one number out of the LINEST block</t>
  </si>
  <si>
    <t xml:space="preserve">=TDIST(ABS(t), df, 2)</t>
  </si>
  <si>
    <t xml:space="preserve">two-sided p-value from a t-statistic</t>
  </si>
  <si>
    <t xml:space="preserve">=EXP(x)</t>
  </si>
  <si>
    <t xml:space="preserve">undo a natural log; turns a log coefficient into a multiplier</t>
  </si>
  <si>
    <t xml:space="preserve">Turning on the Analysis ToolPak (optional point-and-click route)</t>
  </si>
  <si>
    <t xml:space="preserve">Excel has a menu-driven regression tool. Windows: File &gt; Options &gt; Add-ins &gt; Manage: Excel Add-ins &gt; Go &gt; tick 'Analysis ToolPak' &gt; OK. Mac: Tools &gt; Excel Add-ins &gt; tick 'Analysis ToolPak'. Then Data &gt; Data Analysis &gt; Regression, set the Y range and X range, tick 'Labels' if you include headers, and click OK. The output table matches the LINEST results on the lesson tabs. LINEST is the better skill to learn because it updates live; the ToolPak is a one-time snapshot.</t>
  </si>
  <si>
    <t xml:space="preserve">Data source and citation</t>
  </si>
  <si>
    <t xml:space="preserve">Trade values: BACI 2022 (CEPII), built on UN Comtrade. Distance, contiguity, common language, colonial history, trade-agreement membership: CEPII Gravity database. GDP: World Bank WDI. Each row is one directed exporter-importer pair. Color code used throughout: BLUE cells are inputs you may change; BLACK is a formula result; YELLOW is a cell for you to fill in.</t>
  </si>
  <si>
    <t xml:space="preserve">Lesson 1 — Simple Regression: distance vs trade</t>
  </si>
  <si>
    <t xml:space="preserve">One predictor. Model:  ln_trade = a + b * ln_dist + error</t>
  </si>
  <si>
    <t xml:space="preserve">Both trade and distance are in natural logs, so the slope b is an ELASTICITY: the percent change in trade for a 1 percent change in distance. We expect b to be negative (farther apart means less trade). Watch how much of trade one variable can, and cannot, explain.</t>
  </si>
  <si>
    <t xml:space="preserve">Step 1 — The core statistics (live formulas)</t>
  </si>
  <si>
    <t xml:space="preserve">Statistic</t>
  </si>
  <si>
    <t xml:space="preserve">Value</t>
  </si>
  <si>
    <t xml:space="preserve">Slope  b  (distance elasticity)</t>
  </si>
  <si>
    <t xml:space="preserve">Intercept  a</t>
  </si>
  <si>
    <t xml:space="preserve">R-squared</t>
  </si>
  <si>
    <t xml:space="preserve">Correlation  r</t>
  </si>
  <si>
    <t xml:space="preserve">Std. error of estimate</t>
  </si>
  <si>
    <t xml:space="preserve">Observations  n</t>
  </si>
  <si>
    <t xml:space="preserve">Std. error of slope</t>
  </si>
  <si>
    <t xml:space="preserve">t-statistic for slope</t>
  </si>
  <si>
    <t xml:space="preserve">p-value (is b ≠ 0?)</t>
  </si>
  <si>
    <t xml:space="preserve">Read it.  The slope is about -0.81: a country pair twice as far apart (a 100% rise in distance) trades roughly 81% less, holding nothing else fixed. The t-stat is large and the p-value is tiny, so distance clearly matters. But R-squared is only about 0.06: distance by itself explains just 6% of why trade volumes differ. Something big is missing. That is Lesson 2.</t>
  </si>
  <si>
    <t xml:space="preserve">Step 2 — Cross-check: the slope is just covariance / variance</t>
  </si>
  <si>
    <t xml:space="preserve">COVAR(x,y) / VARP(x)</t>
  </si>
  <si>
    <t xml:space="preserve">matches SLOPE above</t>
  </si>
  <si>
    <t xml:space="preserve">Step 3 — Prediction calculator</t>
  </si>
  <si>
    <t xml:space="preserve">Type any distance in the BLUE cell. The model predicts trade for a pair that far apart (at the average of everything else).</t>
  </si>
  <si>
    <t xml:space="preserve">Distance (km)  — change me</t>
  </si>
  <si>
    <t xml:space="preserve">ln(distance)</t>
  </si>
  <si>
    <t xml:space="preserve">Predicted ln_trade</t>
  </si>
  <si>
    <t xml:space="preserve">Predicted trade (USD '000)</t>
  </si>
  <si>
    <t xml:space="preserve">Lesson 2 — Multiple Regression: the gravity equation</t>
  </si>
  <si>
    <t xml:space="preserve">ln_trade = a + b1*ln_dist + b2*ln_gdp_i + b3*ln_gdp_j + error</t>
  </si>
  <si>
    <t xml:space="preserve">Now three predictors at once. Each coefficient is a PARTIAL effect: what that variable does to trade holding the others fixed. Gravity theory predicts the two GDP elasticities should land near 1. Watch R-squared jump versus Lesson 1.</t>
  </si>
  <si>
    <t xml:space="preserve">Regression output  (live, from LINEST)</t>
  </si>
  <si>
    <t xml:space="preserve">Term</t>
  </si>
  <si>
    <t xml:space="preserve">Coefficient</t>
  </si>
  <si>
    <t xml:space="preserve">Std. error</t>
  </si>
  <si>
    <t xml:space="preserve">t-stat</t>
  </si>
  <si>
    <t xml:space="preserve">p-value (2-sided)</t>
  </si>
  <si>
    <t xml:space="preserve">Reading</t>
  </si>
  <si>
    <t xml:space="preserve">Intercept</t>
  </si>
  <si>
    <t xml:space="preserve">baseline; not interesting on its own</t>
  </si>
  <si>
    <t xml:space="preserve">distance elasticity: ~ -0.83, trade falls with distance</t>
  </si>
  <si>
    <t xml:space="preserve">exporter-size elasticity: ~ 1.05, close to theory's 1</t>
  </si>
  <si>
    <t xml:space="preserve">importer-size elasticity: ~ 0.89, close to theory's 1</t>
  </si>
  <si>
    <t xml:space="preserve">R²</t>
  </si>
  <si>
    <t xml:space="preserve">Adjusted R²</t>
  </si>
  <si>
    <t xml:space="preserve">F-statistic</t>
  </si>
  <si>
    <t xml:space="preserve">Std. error of regression</t>
  </si>
  <si>
    <t xml:space="preserve">Observations (n)</t>
  </si>
  <si>
    <t xml:space="preserve">Predictors (k)</t>
  </si>
  <si>
    <t xml:space="preserve">Read it.  Add the two GDP terms and R-squared climbs from about 0.06 to about 0.35: economic size, not distance, is the main story. Both GDP elasticities sit near 1, which is what the gravity model predicts. The distance elasticity barely moves (-0.81 to -0.83), so it was not just standing in for size. Every t-stat is large: all three matter.</t>
  </si>
  <si>
    <t xml:space="preserve">What LINEST actually returns (the raw 5-row block)</t>
  </si>
  <si>
    <t xml:space="preserve">LINEST gives a block, not a single number. Coefficients come back RIGHT TO LEFT: the last X column first, and the intercept LAST. That reversal is the classic trap. The table above already untangles it with INDEX; here is the raw block so you can see it.</t>
  </si>
  <si>
    <t xml:space="preserve">col1 = ln_gdp_j</t>
  </si>
  <si>
    <t xml:space="preserve">col2 = ln_gdp_i</t>
  </si>
  <si>
    <t xml:space="preserve">col3 = ln_dist</t>
  </si>
  <si>
    <t xml:space="preserve">col4 = Intercept</t>
  </si>
  <si>
    <t xml:space="preserve">row1 coefficients</t>
  </si>
  <si>
    <t xml:space="preserve">row2 std errors</t>
  </si>
  <si>
    <t xml:space="preserve">row3 R² &amp; SE</t>
  </si>
  <si>
    <t xml:space="preserve">row4 F &amp; df</t>
  </si>
  <si>
    <t xml:space="preserve">row5 SS</t>
  </si>
  <si>
    <t xml:space="preserve">Lesson 3 — Dummy Variables: borders, language, agreements</t>
  </si>
  <si>
    <t xml:space="preserve">Add 0/1 indicators to the gravity equation and read them as % effects</t>
  </si>
  <si>
    <t xml:space="preserve">A dummy is a variable that is 1 when something is true and 0 otherwise. Its coefficient is the gap between the two groups, holding the rest fixed. Because trade is in logs, a dummy coefficient b means trade is higher by roughly b*100 percent, or exactly (EXP(b)-1)*100 percent.</t>
  </si>
  <si>
    <t xml:space="preserve">baseline</t>
  </si>
  <si>
    <t xml:space="preserve">distance elasticity</t>
  </si>
  <si>
    <t xml:space="preserve">exporter size</t>
  </si>
  <si>
    <t xml:space="preserve">importer size</t>
  </si>
  <si>
    <t xml:space="preserve">contig</t>
  </si>
  <si>
    <t xml:space="preserve">shares a land border</t>
  </si>
  <si>
    <t xml:space="preserve">comlang</t>
  </si>
  <si>
    <t xml:space="preserve">share a common language</t>
  </si>
  <si>
    <t xml:space="preserve">fta</t>
  </si>
  <si>
    <t xml:space="preserve">have a trade agreement</t>
  </si>
  <si>
    <t xml:space="preserve">Turning a dummy coefficient into a percentage effect</t>
  </si>
  <si>
    <t xml:space="preserve">Dummy</t>
  </si>
  <si>
    <t xml:space="preserve">Coefficient b</t>
  </si>
  <si>
    <t xml:space="preserve">≈ b*100 %</t>
  </si>
  <si>
    <t xml:space="preserve">exact (EXP(b)-1)</t>
  </si>
  <si>
    <t xml:space="preserve">agree_fta (trade agreement)</t>
  </si>
  <si>
    <t xml:space="preserve">contiguity (border)</t>
  </si>
  <si>
    <t xml:space="preserve">Read it.  A trade agreement goes with roughly +113% more trade once you exponentiate (EXP(1.13)-1 ≈ 2.08, so trade more than triples). Common language adds about +55%. The border coefficient comes out NEGATIVE here, which is not what we would guess. With only 200 pairs, neighbors in this sample are also short-distance and high-GDP, so once those are controlled the leftover border term picks up oddities. Real data argues back: a surprising sign is a prompt to get more data and think, not a verdict.</t>
  </si>
  <si>
    <t xml:space="preserve">Exercises — your turn</t>
  </si>
  <si>
    <t xml:space="preserve">Write your formulas in the YELLOW cells. Solutions on the Answer Key tab.</t>
  </si>
  <si>
    <t xml:space="preserve">Use the named ranges (ln_trade, ln_dist, ln_gdp_i, ln_gdp_j, contig, comlang, fta) or Data ranges directly. After typing a formula, press Enter and the answer appears.</t>
  </si>
  <si>
    <t xml:space="preserve">Q1</t>
  </si>
  <si>
    <t xml:space="preserve">Regress ln_trade on ln_gdp_i ALONE (exporter size only). Report the slope and R-squared.</t>
  </si>
  <si>
    <t xml:space="preserve">slope =</t>
  </si>
  <si>
    <t xml:space="preserve">=SLOPE(ln_trade, ln_gdp_i)</t>
  </si>
  <si>
    <t xml:space="preserve">R² =</t>
  </si>
  <si>
    <t xml:space="preserve">=RSQ(ln_trade, ln_gdp_i)</t>
  </si>
  <si>
    <t xml:space="preserve">Q2</t>
  </si>
  <si>
    <t xml:space="preserve">Two-predictor model ln_trade ~ ln_dist + ln_gdp_i via LINEST. Pull the distance elasticity. (Hint: X range is Data!J2:K201; LINEST reverses, so ln_dist is column 2.)</t>
  </si>
  <si>
    <t xml:space="preserve">dist elasticity =</t>
  </si>
  <si>
    <t xml:space="preserve">=INDEX(LINEST(ln_trade,Data!J2:K201,TRUE,TRUE),1,2)</t>
  </si>
  <si>
    <t xml:space="preserve">Q3</t>
  </si>
  <si>
    <t xml:space="preserve">Take the agree_fta coefficient from the full model (it is on the L3 tab) and convert it to an exact percentage trade effect.</t>
  </si>
  <si>
    <t xml:space="preserve">exact % effect =</t>
  </si>
  <si>
    <t xml:space="preserve">=(EXP(coef)-1)  → about 2.08, i.e. +208%</t>
  </si>
  <si>
    <t xml:space="preserve">Q4</t>
  </si>
  <si>
    <t xml:space="preserve">Prediction. Using the L1 simple model, predict trade for a pair 9,000 km apart. (ln, then a+b*ln, then EXP.)</t>
  </si>
  <si>
    <t xml:space="preserve">predicted trade =</t>
  </si>
  <si>
    <t xml:space="preserve">EXP(intercept + slope*LN(9000))</t>
  </si>
  <si>
    <t xml:space="preserve">Q5</t>
  </si>
  <si>
    <t xml:space="preserve">In one sentence: why does R-squared rise from about 0.06 (L1) to about 0.35 (L2)? Type your answer in the cell.</t>
  </si>
  <si>
    <t xml:space="preserve">your answer:</t>
  </si>
  <si>
    <t xml:space="preserve">size matters more than distance; adding GDP explains much more variation</t>
  </si>
  <si>
    <t xml:space="preserve">Worked Excel formulas, plus the same models in Python (statsmodels) as a cross-check</t>
  </si>
  <si>
    <t xml:space="preserve">Exercise solutions (live formulas)</t>
  </si>
  <si>
    <t xml:space="preserve">Question</t>
  </si>
  <si>
    <t xml:space="preserve">Formula to type</t>
  </si>
  <si>
    <t xml:space="preserve">Result</t>
  </si>
  <si>
    <t xml:space="preserve">Q1 slope (ln_gdp_i)</t>
  </si>
  <si>
    <t xml:space="preserve">Q1 R²</t>
  </si>
  <si>
    <t xml:space="preserve">Q2 distance elasticity</t>
  </si>
  <si>
    <t xml:space="preserve">Q3 FTA exact % effect</t>
  </si>
  <si>
    <t xml:space="preserve">=(EXP(INDEX(LINEST(ln_trade,X_full,TRUE,TRUE),1,1))-1)</t>
  </si>
  <si>
    <t xml:space="preserve">Q4 predicted trade @9000km</t>
  </si>
  <si>
    <t xml:space="preserve">=EXP(INTERCEPT(ln_trade,ln_dist)+SLOPE(ln_trade,ln_dist)*LN(9000))</t>
  </si>
  <si>
    <t xml:space="preserve">Q5 (concept)</t>
  </si>
  <si>
    <t xml:space="preserve">Adding the GDP variables captures economic size, the dominant driver of trade. Distance alone left most variation unexplained; size explains far more, so R² rises.</t>
  </si>
  <si>
    <t xml:space="preserve">Cross-check: the three models estimated in Python (statsmodels OLS)</t>
  </si>
  <si>
    <t xml:space="preserve">Source: build_workbook.py, statsmodels 0.14.2, identical 200-row data. If your Excel LINEST output matches these, you did it right.</t>
  </si>
  <si>
    <t xml:space="preserve">Model 1: ln_trade ~ ln_dist</t>
  </si>
  <si>
    <t xml:space="preserve">R² = 0.0636   |   Adj R² = 0.0589   |   F = 13.46   |   n = 200</t>
  </si>
  <si>
    <t xml:space="preserve">Model 2: + ln_gdp_i + ln_gdp_j</t>
  </si>
  <si>
    <t xml:space="preserve">R² = 0.3515   |   Adj R² = 0.3416   |   F = 35.41   |   n = 200</t>
  </si>
  <si>
    <t xml:space="preserve">Model 3: + contiguity + common_language + agree_fta</t>
  </si>
  <si>
    <t xml:space="preserve">R² = 0.4111   |   Adj R² = 0.3928   |   F = 22.46   |   n = 200</t>
  </si>
</sst>
</file>

<file path=xl/styles.xml><?xml version="1.0" encoding="utf-8"?>
<styleSheet xmlns="http://schemas.openxmlformats.org/spreadsheetml/2006/main">
  <numFmts count="8">
    <numFmt numFmtId="164" formatCode="General"/>
    <numFmt numFmtId="165" formatCode="#,##0"/>
    <numFmt numFmtId="166" formatCode="0.0000"/>
    <numFmt numFmtId="167" formatCode="0"/>
    <numFmt numFmtId="168" formatCode="0.000"/>
    <numFmt numFmtId="169" formatCode="0.00"/>
    <numFmt numFmtId="170" formatCode="0.0\%"/>
    <numFmt numFmtId="171" formatCode="0.0%"/>
  </numFmts>
  <fonts count="2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color rgb="FF000000"/>
      <name val="Arial"/>
      <family val="0"/>
      <charset val="1"/>
    </font>
    <font>
      <b val="true"/>
      <sz val="16"/>
      <color rgb="FFFFFFFF"/>
      <name val="Arial"/>
      <family val="0"/>
      <charset val="1"/>
    </font>
    <font>
      <i val="true"/>
      <sz val="10"/>
      <color rgb="FFFFFFFF"/>
      <name val="Arial"/>
      <family val="0"/>
      <charset val="1"/>
    </font>
    <font>
      <sz val="10"/>
      <color rgb="FF000000"/>
      <name val="Arial"/>
      <family val="0"/>
      <charset val="1"/>
    </font>
    <font>
      <b val="true"/>
      <sz val="12"/>
      <color rgb="FFC0392B"/>
      <name val="Arial"/>
      <family val="0"/>
      <charset val="1"/>
    </font>
    <font>
      <b val="true"/>
      <sz val="10"/>
      <color rgb="FF000000"/>
      <name val="Arial"/>
      <family val="0"/>
      <charset val="1"/>
    </font>
    <font>
      <sz val="9"/>
      <name val="Consolas"/>
      <family val="0"/>
      <charset val="1"/>
    </font>
    <font>
      <i val="true"/>
      <sz val="9"/>
      <color rgb="FF000000"/>
      <name val="Arial"/>
      <family val="0"/>
      <charset val="1"/>
    </font>
    <font>
      <b val="true"/>
      <sz val="11"/>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C0392B"/>
      <name val="Arial"/>
      <family val="0"/>
      <charset val="1"/>
    </font>
    <font>
      <b val="true"/>
      <sz val="9"/>
      <color rgb="FF000000"/>
      <name val="Arial"/>
      <family val="0"/>
      <charset val="1"/>
    </font>
    <font>
      <i val="true"/>
      <sz val="8"/>
      <color rgb="FF808080"/>
      <name val="Arial"/>
      <family val="0"/>
      <charset val="1"/>
    </font>
    <font>
      <sz val="8"/>
      <name val="Consolas"/>
      <family val="0"/>
      <charset val="1"/>
    </font>
    <font>
      <b val="true"/>
      <sz val="11"/>
      <color rgb="FF2C3E50"/>
      <name val="Arial"/>
      <family val="0"/>
      <charset val="1"/>
    </font>
  </fonts>
  <fills count="9">
    <fill>
      <patternFill patternType="none"/>
    </fill>
    <fill>
      <patternFill patternType="gray125"/>
    </fill>
    <fill>
      <patternFill patternType="solid">
        <fgColor rgb="FF2C3E50"/>
        <bgColor rgb="FF333399"/>
      </patternFill>
    </fill>
    <fill>
      <patternFill patternType="solid">
        <fgColor rgb="FFFBFBF7"/>
        <bgColor rgb="FFFFFFFF"/>
      </patternFill>
    </fill>
    <fill>
      <patternFill patternType="solid">
        <fgColor rgb="FF1A1A2E"/>
        <bgColor rgb="FF003300"/>
      </patternFill>
    </fill>
    <fill>
      <patternFill patternType="solid">
        <fgColor rgb="FFFDF6E3"/>
        <bgColor rgb="FFFBFBF7"/>
      </patternFill>
    </fill>
    <fill>
      <patternFill patternType="solid">
        <fgColor rgb="FFF2F2F2"/>
        <bgColor rgb="FFE8EEFF"/>
      </patternFill>
    </fill>
    <fill>
      <patternFill patternType="solid">
        <fgColor rgb="FFFFF2CC"/>
        <bgColor rgb="FFFDF6E3"/>
      </patternFill>
    </fill>
    <fill>
      <patternFill patternType="solid">
        <fgColor rgb="FFE8EEFF"/>
        <bgColor rgb="FFF2F2F2"/>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ck">
        <color rgb="FFC0392B"/>
      </left>
      <right/>
      <top style="thin">
        <color rgb="FFBFBFBF"/>
      </top>
      <bottom style="thin">
        <color rgb="FFBFBFBF"/>
      </bottom>
      <diagonal/>
    </border>
    <border diagonalUp="false" diagonalDown="false">
      <left style="thick">
        <color rgb="FF2C3E50"/>
      </left>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ck">
        <color rgb="FFBF8F00"/>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right"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5" borderId="2"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8" fillId="6" borderId="3" xfId="0" applyFont="true" applyBorder="true" applyAlignment="true" applyProtection="false">
      <alignment horizontal="left" vertical="top" textRotation="0" wrapText="true" indent="0" shrinkToFit="false"/>
      <protection locked="true" hidden="false"/>
    </xf>
    <xf numFmtId="164" fontId="4" fillId="2" borderId="4"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8" fillId="7" borderId="5"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5" fontId="13" fillId="8"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4" fontId="12" fillId="0" borderId="4" xfId="0" applyFont="true" applyBorder="true" applyAlignment="true" applyProtection="false">
      <alignment horizontal="left" vertical="top"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E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FBFBF7"/>
      <rgbColor rgb="FFFDF6E3"/>
      <rgbColor rgb="FF99CCFF"/>
      <rgbColor rgb="FFFF99CC"/>
      <rgbColor rgb="FFCC99FF"/>
      <rgbColor rgb="FFFFCC99"/>
      <rgbColor rgb="FF3366FF"/>
      <rgbColor rgb="FF33CCCC"/>
      <rgbColor rgb="FF99CC00"/>
      <rgbColor rgb="FFFFCC00"/>
      <rgbColor rgb="FFBF8F00"/>
      <rgbColor rgb="FFFF6600"/>
      <rgbColor rgb="FF666699"/>
      <rgbColor rgb="FF878787"/>
      <rgbColor rgb="FF003366"/>
      <rgbColor rgb="FF339966"/>
      <rgbColor rgb="FF003300"/>
      <rgbColor rgb="FF1A1A2E"/>
      <rgbColor rgb="FFC0392B"/>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ln_trade vs ln_dist (with fitted line)</a:t>
            </a:r>
          </a:p>
        </c:rich>
      </c:tx>
      <c:overlay val="0"/>
      <c:spPr>
        <a:noFill/>
        <a:ln w="0">
          <a:noFill/>
        </a:ln>
      </c:spPr>
    </c:title>
    <c:autoTitleDeleted val="0"/>
    <c:plotArea>
      <c:scatterChart>
        <c:scatterStyle val="lineMarker"/>
        <c:varyColors val="0"/>
        <c:ser>
          <c:idx val="0"/>
          <c:order val="0"/>
          <c:spPr>
            <a:solidFill>
              <a:srgbClr val="FFFFFF"/>
            </a:solidFill>
            <a:ln w="12600">
              <a:noFill/>
            </a:ln>
          </c:spPr>
          <c:marker>
            <c:symbol val="circle"/>
            <c:size val="4"/>
            <c:spPr>
              <a:no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1"/>
            <c:dispEq val="1"/>
          </c:trendline>
          <c:xVal>
            <c:numRef>
              <c:f>Data!$J$2:$J$201</c:f>
              <c:numCache>
                <c:formatCode>0.0000</c:formatCode>
                <c:ptCount val="200"/>
                <c:pt idx="0">
                  <c:v>7.3143</c:v>
                </c:pt>
                <c:pt idx="1">
                  <c:v>7.5887</c:v>
                </c:pt>
                <c:pt idx="2">
                  <c:v>6.5987</c:v>
                </c:pt>
                <c:pt idx="3">
                  <c:v>8.229</c:v>
                </c:pt>
                <c:pt idx="4">
                  <c:v>7.8936</c:v>
                </c:pt>
                <c:pt idx="5">
                  <c:v>7.0581</c:v>
                </c:pt>
                <c:pt idx="6">
                  <c:v>7.2229</c:v>
                </c:pt>
                <c:pt idx="7">
                  <c:v>7.7851</c:v>
                </c:pt>
                <c:pt idx="8">
                  <c:v>7.7619</c:v>
                </c:pt>
                <c:pt idx="9">
                  <c:v>8.0901</c:v>
                </c:pt>
                <c:pt idx="10">
                  <c:v>7.6829</c:v>
                </c:pt>
                <c:pt idx="11">
                  <c:v>7.2229</c:v>
                </c:pt>
                <c:pt idx="12">
                  <c:v>7.2894</c:v>
                </c:pt>
                <c:pt idx="13">
                  <c:v>8.1773</c:v>
                </c:pt>
                <c:pt idx="14">
                  <c:v>6.7053</c:v>
                </c:pt>
                <c:pt idx="15">
                  <c:v>7.8088</c:v>
                </c:pt>
                <c:pt idx="16">
                  <c:v>8.1808</c:v>
                </c:pt>
                <c:pt idx="17">
                  <c:v>7.2338</c:v>
                </c:pt>
                <c:pt idx="18">
                  <c:v>7.818</c:v>
                </c:pt>
                <c:pt idx="19">
                  <c:v>8.095</c:v>
                </c:pt>
                <c:pt idx="20">
                  <c:v>7.7838</c:v>
                </c:pt>
                <c:pt idx="21">
                  <c:v>8.0135</c:v>
                </c:pt>
                <c:pt idx="22">
                  <c:v>8.0141</c:v>
                </c:pt>
                <c:pt idx="23">
                  <c:v>7.7289</c:v>
                </c:pt>
                <c:pt idx="24">
                  <c:v>8.1775</c:v>
                </c:pt>
                <c:pt idx="25">
                  <c:v>8.0088</c:v>
                </c:pt>
                <c:pt idx="26">
                  <c:v>7.2724</c:v>
                </c:pt>
                <c:pt idx="27">
                  <c:v>8.1253</c:v>
                </c:pt>
                <c:pt idx="28">
                  <c:v>8.2099</c:v>
                </c:pt>
                <c:pt idx="29">
                  <c:v>8.0637</c:v>
                </c:pt>
                <c:pt idx="30">
                  <c:v>8.1808</c:v>
                </c:pt>
                <c:pt idx="31">
                  <c:v>7.2262</c:v>
                </c:pt>
                <c:pt idx="32">
                  <c:v>6.5617</c:v>
                </c:pt>
                <c:pt idx="33">
                  <c:v>7.89</c:v>
                </c:pt>
                <c:pt idx="34">
                  <c:v>7.0782</c:v>
                </c:pt>
                <c:pt idx="35">
                  <c:v>7.2858</c:v>
                </c:pt>
                <c:pt idx="36">
                  <c:v>7.9923</c:v>
                </c:pt>
                <c:pt idx="37">
                  <c:v>8.113</c:v>
                </c:pt>
                <c:pt idx="38">
                  <c:v>7.1652</c:v>
                </c:pt>
                <c:pt idx="39">
                  <c:v>8.2124</c:v>
                </c:pt>
                <c:pt idx="40">
                  <c:v>7.5665</c:v>
                </c:pt>
                <c:pt idx="41">
                  <c:v>7.5169</c:v>
                </c:pt>
                <c:pt idx="42">
                  <c:v>7.6641</c:v>
                </c:pt>
                <c:pt idx="43">
                  <c:v>8.0846</c:v>
                </c:pt>
                <c:pt idx="44">
                  <c:v>7.0746</c:v>
                </c:pt>
                <c:pt idx="45">
                  <c:v>6.8998</c:v>
                </c:pt>
                <c:pt idx="46">
                  <c:v>8.0765</c:v>
                </c:pt>
                <c:pt idx="47">
                  <c:v>7.8427</c:v>
                </c:pt>
                <c:pt idx="48">
                  <c:v>7.4038</c:v>
                </c:pt>
                <c:pt idx="49">
                  <c:v>6.4248</c:v>
                </c:pt>
                <c:pt idx="50">
                  <c:v>8.4554</c:v>
                </c:pt>
                <c:pt idx="51">
                  <c:v>8.6809</c:v>
                </c:pt>
                <c:pt idx="52">
                  <c:v>8.3547</c:v>
                </c:pt>
                <c:pt idx="53">
                  <c:v>8.4289</c:v>
                </c:pt>
                <c:pt idx="54">
                  <c:v>8.7753</c:v>
                </c:pt>
                <c:pt idx="55">
                  <c:v>8.4825</c:v>
                </c:pt>
                <c:pt idx="56">
                  <c:v>8.9249</c:v>
                </c:pt>
                <c:pt idx="57">
                  <c:v>8.3928</c:v>
                </c:pt>
                <c:pt idx="58">
                  <c:v>8.5224</c:v>
                </c:pt>
                <c:pt idx="59">
                  <c:v>8.9149</c:v>
                </c:pt>
                <c:pt idx="60">
                  <c:v>8.6465</c:v>
                </c:pt>
                <c:pt idx="61">
                  <c:v>8.4554</c:v>
                </c:pt>
                <c:pt idx="62">
                  <c:v>8.321</c:v>
                </c:pt>
                <c:pt idx="63">
                  <c:v>8.8879</c:v>
                </c:pt>
                <c:pt idx="64">
                  <c:v>8.9108</c:v>
                </c:pt>
                <c:pt idx="65">
                  <c:v>8.7554</c:v>
                </c:pt>
                <c:pt idx="66">
                  <c:v>8.5481</c:v>
                </c:pt>
                <c:pt idx="67">
                  <c:v>8.3547</c:v>
                </c:pt>
                <c:pt idx="68">
                  <c:v>8.4994</c:v>
                </c:pt>
                <c:pt idx="69">
                  <c:v>8.6794</c:v>
                </c:pt>
                <c:pt idx="70">
                  <c:v>8.3862</c:v>
                </c:pt>
                <c:pt idx="71">
                  <c:v>8.4004</c:v>
                </c:pt>
                <c:pt idx="72">
                  <c:v>8.2693</c:v>
                </c:pt>
                <c:pt idx="73">
                  <c:v>8.2491</c:v>
                </c:pt>
                <c:pt idx="74">
                  <c:v>8.6809</c:v>
                </c:pt>
                <c:pt idx="75">
                  <c:v>8.685</c:v>
                </c:pt>
                <c:pt idx="76">
                  <c:v>8.9166</c:v>
                </c:pt>
                <c:pt idx="77">
                  <c:v>8.2579</c:v>
                </c:pt>
                <c:pt idx="78">
                  <c:v>8.9148</c:v>
                </c:pt>
                <c:pt idx="79">
                  <c:v>8.9327</c:v>
                </c:pt>
                <c:pt idx="80">
                  <c:v>8.6532</c:v>
                </c:pt>
                <c:pt idx="81">
                  <c:v>8.4836</c:v>
                </c:pt>
                <c:pt idx="82">
                  <c:v>8.7425</c:v>
                </c:pt>
                <c:pt idx="83">
                  <c:v>8.7828</c:v>
                </c:pt>
                <c:pt idx="84">
                  <c:v>8.9237</c:v>
                </c:pt>
                <c:pt idx="85">
                  <c:v>8.5792</c:v>
                </c:pt>
                <c:pt idx="86">
                  <c:v>8.4834</c:v>
                </c:pt>
                <c:pt idx="87">
                  <c:v>8.9201</c:v>
                </c:pt>
                <c:pt idx="88">
                  <c:v>8.8802</c:v>
                </c:pt>
                <c:pt idx="89">
                  <c:v>8.8955</c:v>
                </c:pt>
                <c:pt idx="90">
                  <c:v>8.8562</c:v>
                </c:pt>
                <c:pt idx="91">
                  <c:v>8.9175</c:v>
                </c:pt>
                <c:pt idx="92">
                  <c:v>8.8615</c:v>
                </c:pt>
                <c:pt idx="93">
                  <c:v>8.8313</c:v>
                </c:pt>
                <c:pt idx="94">
                  <c:v>8.3568</c:v>
                </c:pt>
                <c:pt idx="95">
                  <c:v>8.4175</c:v>
                </c:pt>
                <c:pt idx="96">
                  <c:v>8.2543</c:v>
                </c:pt>
                <c:pt idx="97">
                  <c:v>8.7783</c:v>
                </c:pt>
                <c:pt idx="98">
                  <c:v>8.6328</c:v>
                </c:pt>
                <c:pt idx="99">
                  <c:v>8.8428</c:v>
                </c:pt>
                <c:pt idx="100">
                  <c:v>9.0115</c:v>
                </c:pt>
                <c:pt idx="101">
                  <c:v>9.103</c:v>
                </c:pt>
                <c:pt idx="102">
                  <c:v>9.0758</c:v>
                </c:pt>
                <c:pt idx="103">
                  <c:v>9.1332</c:v>
                </c:pt>
                <c:pt idx="104">
                  <c:v>8.937</c:v>
                </c:pt>
                <c:pt idx="105">
                  <c:v>9.1165</c:v>
                </c:pt>
                <c:pt idx="106">
                  <c:v>9.0947</c:v>
                </c:pt>
                <c:pt idx="107">
                  <c:v>9.1501</c:v>
                </c:pt>
                <c:pt idx="108">
                  <c:v>8.9869</c:v>
                </c:pt>
                <c:pt idx="109">
                  <c:v>8.9599</c:v>
                </c:pt>
                <c:pt idx="110">
                  <c:v>9.1545</c:v>
                </c:pt>
                <c:pt idx="111">
                  <c:v>9.0992</c:v>
                </c:pt>
                <c:pt idx="112">
                  <c:v>9.2352</c:v>
                </c:pt>
                <c:pt idx="113">
                  <c:v>8.9706</c:v>
                </c:pt>
                <c:pt idx="114">
                  <c:v>9.1295</c:v>
                </c:pt>
                <c:pt idx="115">
                  <c:v>9.2261</c:v>
                </c:pt>
                <c:pt idx="116">
                  <c:v>8.9561</c:v>
                </c:pt>
                <c:pt idx="117">
                  <c:v>8.9594</c:v>
                </c:pt>
                <c:pt idx="118">
                  <c:v>9.0044</c:v>
                </c:pt>
                <c:pt idx="119">
                  <c:v>9.1247</c:v>
                </c:pt>
                <c:pt idx="120">
                  <c:v>9.1455</c:v>
                </c:pt>
                <c:pt idx="121">
                  <c:v>9.0042</c:v>
                </c:pt>
                <c:pt idx="122">
                  <c:v>9.0035</c:v>
                </c:pt>
                <c:pt idx="123">
                  <c:v>9.1628</c:v>
                </c:pt>
                <c:pt idx="124">
                  <c:v>9.1367</c:v>
                </c:pt>
                <c:pt idx="125">
                  <c:v>9.233</c:v>
                </c:pt>
                <c:pt idx="126">
                  <c:v>9.218</c:v>
                </c:pt>
                <c:pt idx="127">
                  <c:v>9.163</c:v>
                </c:pt>
                <c:pt idx="128">
                  <c:v>9.0224</c:v>
                </c:pt>
                <c:pt idx="129">
                  <c:v>9.1957</c:v>
                </c:pt>
                <c:pt idx="130">
                  <c:v>9.065</c:v>
                </c:pt>
                <c:pt idx="131">
                  <c:v>9.192</c:v>
                </c:pt>
                <c:pt idx="132">
                  <c:v>9.2079</c:v>
                </c:pt>
                <c:pt idx="133">
                  <c:v>9.1089</c:v>
                </c:pt>
                <c:pt idx="134">
                  <c:v>8.9905</c:v>
                </c:pt>
                <c:pt idx="135">
                  <c:v>8.9503</c:v>
                </c:pt>
                <c:pt idx="136">
                  <c:v>9.1627</c:v>
                </c:pt>
                <c:pt idx="137">
                  <c:v>9.0583</c:v>
                </c:pt>
                <c:pt idx="138">
                  <c:v>9.1037</c:v>
                </c:pt>
                <c:pt idx="139">
                  <c:v>9.1538</c:v>
                </c:pt>
                <c:pt idx="140">
                  <c:v>9.0809</c:v>
                </c:pt>
                <c:pt idx="141">
                  <c:v>9.1235</c:v>
                </c:pt>
                <c:pt idx="142">
                  <c:v>9.1037</c:v>
                </c:pt>
                <c:pt idx="143">
                  <c:v>9.119</c:v>
                </c:pt>
                <c:pt idx="144">
                  <c:v>9.1874</c:v>
                </c:pt>
                <c:pt idx="145">
                  <c:v>9.1105</c:v>
                </c:pt>
                <c:pt idx="146">
                  <c:v>9.1864</c:v>
                </c:pt>
                <c:pt idx="147">
                  <c:v>9.0608</c:v>
                </c:pt>
                <c:pt idx="148">
                  <c:v>9.0714</c:v>
                </c:pt>
                <c:pt idx="149">
                  <c:v>8.9944</c:v>
                </c:pt>
                <c:pt idx="150">
                  <c:v>9.5414</c:v>
                </c:pt>
                <c:pt idx="151">
                  <c:v>9.7485</c:v>
                </c:pt>
                <c:pt idx="152">
                  <c:v>9.2921</c:v>
                </c:pt>
                <c:pt idx="153">
                  <c:v>9.7752</c:v>
                </c:pt>
                <c:pt idx="154">
                  <c:v>9.6001</c:v>
                </c:pt>
                <c:pt idx="155">
                  <c:v>9.3395</c:v>
                </c:pt>
                <c:pt idx="156">
                  <c:v>9.5533</c:v>
                </c:pt>
                <c:pt idx="157">
                  <c:v>9.6042</c:v>
                </c:pt>
                <c:pt idx="158">
                  <c:v>9.2573</c:v>
                </c:pt>
                <c:pt idx="159">
                  <c:v>9.4156</c:v>
                </c:pt>
                <c:pt idx="160">
                  <c:v>9.4158</c:v>
                </c:pt>
                <c:pt idx="161">
                  <c:v>9.5533</c:v>
                </c:pt>
                <c:pt idx="162">
                  <c:v>9.5783</c:v>
                </c:pt>
                <c:pt idx="163">
                  <c:v>9.2596</c:v>
                </c:pt>
                <c:pt idx="164">
                  <c:v>9.7783</c:v>
                </c:pt>
                <c:pt idx="165">
                  <c:v>9.2503</c:v>
                </c:pt>
                <c:pt idx="166">
                  <c:v>9.5347</c:v>
                </c:pt>
                <c:pt idx="167">
                  <c:v>9.602</c:v>
                </c:pt>
                <c:pt idx="168">
                  <c:v>9.3598</c:v>
                </c:pt>
                <c:pt idx="169">
                  <c:v>9.4451</c:v>
                </c:pt>
                <c:pt idx="170">
                  <c:v>9.3353</c:v>
                </c:pt>
                <c:pt idx="171">
                  <c:v>9.7126</c:v>
                </c:pt>
                <c:pt idx="172">
                  <c:v>9.7033</c:v>
                </c:pt>
                <c:pt idx="173">
                  <c:v>9.2729</c:v>
                </c:pt>
                <c:pt idx="174">
                  <c:v>9.549</c:v>
                </c:pt>
                <c:pt idx="175">
                  <c:v>9.3764</c:v>
                </c:pt>
                <c:pt idx="176">
                  <c:v>9.3715</c:v>
                </c:pt>
                <c:pt idx="177">
                  <c:v>9.402</c:v>
                </c:pt>
                <c:pt idx="178">
                  <c:v>9.3237</c:v>
                </c:pt>
                <c:pt idx="179">
                  <c:v>9.4558</c:v>
                </c:pt>
                <c:pt idx="180">
                  <c:v>9.3453</c:v>
                </c:pt>
                <c:pt idx="181">
                  <c:v>9.329</c:v>
                </c:pt>
                <c:pt idx="182">
                  <c:v>9.6042</c:v>
                </c:pt>
                <c:pt idx="183">
                  <c:v>9.2613</c:v>
                </c:pt>
                <c:pt idx="184">
                  <c:v>9.4604</c:v>
                </c:pt>
                <c:pt idx="185">
                  <c:v>9.4545</c:v>
                </c:pt>
                <c:pt idx="186">
                  <c:v>9.2608</c:v>
                </c:pt>
                <c:pt idx="187">
                  <c:v>9.812</c:v>
                </c:pt>
                <c:pt idx="188">
                  <c:v>9.4092</c:v>
                </c:pt>
                <c:pt idx="189">
                  <c:v>9.2921</c:v>
                </c:pt>
                <c:pt idx="190">
                  <c:v>9.6356</c:v>
                </c:pt>
                <c:pt idx="191">
                  <c:v>9.8399</c:v>
                </c:pt>
                <c:pt idx="192">
                  <c:v>9.5783</c:v>
                </c:pt>
                <c:pt idx="193">
                  <c:v>9.402</c:v>
                </c:pt>
                <c:pt idx="194">
                  <c:v>9.2842</c:v>
                </c:pt>
                <c:pt idx="195">
                  <c:v>9.6823</c:v>
                </c:pt>
                <c:pt idx="196">
                  <c:v>9.6986</c:v>
                </c:pt>
                <c:pt idx="197">
                  <c:v>9.6308</c:v>
                </c:pt>
                <c:pt idx="198">
                  <c:v>9.5577</c:v>
                </c:pt>
                <c:pt idx="199">
                  <c:v>9.5361</c:v>
                </c:pt>
              </c:numCache>
            </c:numRef>
          </c:xVal>
          <c:yVal>
            <c:numRef>
              <c:f>Data!$I$2:$I$201</c:f>
              <c:numCache>
                <c:formatCode>0.0000</c:formatCode>
                <c:ptCount val="200"/>
                <c:pt idx="0">
                  <c:v>17.0478</c:v>
                </c:pt>
                <c:pt idx="1">
                  <c:v>11.3347</c:v>
                </c:pt>
                <c:pt idx="2">
                  <c:v>17.6019</c:v>
                </c:pt>
                <c:pt idx="3">
                  <c:v>14.0591</c:v>
                </c:pt>
                <c:pt idx="4">
                  <c:v>17.7622</c:v>
                </c:pt>
                <c:pt idx="5">
                  <c:v>9.2639</c:v>
                </c:pt>
                <c:pt idx="6">
                  <c:v>11.0883</c:v>
                </c:pt>
                <c:pt idx="7">
                  <c:v>14.5965</c:v>
                </c:pt>
                <c:pt idx="8">
                  <c:v>15.5295</c:v>
                </c:pt>
                <c:pt idx="9">
                  <c:v>14.7344</c:v>
                </c:pt>
                <c:pt idx="10">
                  <c:v>14.2052</c:v>
                </c:pt>
                <c:pt idx="11">
                  <c:v>12.57</c:v>
                </c:pt>
                <c:pt idx="12">
                  <c:v>15.0878</c:v>
                </c:pt>
                <c:pt idx="13">
                  <c:v>17.7705</c:v>
                </c:pt>
                <c:pt idx="14">
                  <c:v>17.5069</c:v>
                </c:pt>
                <c:pt idx="15">
                  <c:v>14.5621</c:v>
                </c:pt>
                <c:pt idx="16">
                  <c:v>13.8159</c:v>
                </c:pt>
                <c:pt idx="17">
                  <c:v>13.6312</c:v>
                </c:pt>
                <c:pt idx="18">
                  <c:v>14.1331</c:v>
                </c:pt>
                <c:pt idx="19">
                  <c:v>13.1954</c:v>
                </c:pt>
                <c:pt idx="20">
                  <c:v>15.8531</c:v>
                </c:pt>
                <c:pt idx="21">
                  <c:v>12.5261</c:v>
                </c:pt>
                <c:pt idx="22">
                  <c:v>17.0847</c:v>
                </c:pt>
                <c:pt idx="23">
                  <c:v>14.5061</c:v>
                </c:pt>
                <c:pt idx="24">
                  <c:v>9.8394</c:v>
                </c:pt>
                <c:pt idx="25">
                  <c:v>13.3187</c:v>
                </c:pt>
                <c:pt idx="26">
                  <c:v>15.8004</c:v>
                </c:pt>
                <c:pt idx="27">
                  <c:v>14.8755</c:v>
                </c:pt>
                <c:pt idx="28">
                  <c:v>13.3566</c:v>
                </c:pt>
                <c:pt idx="29">
                  <c:v>16.7893</c:v>
                </c:pt>
                <c:pt idx="30">
                  <c:v>12.9294</c:v>
                </c:pt>
                <c:pt idx="31">
                  <c:v>15.8697</c:v>
                </c:pt>
                <c:pt idx="32">
                  <c:v>16.5988</c:v>
                </c:pt>
                <c:pt idx="33">
                  <c:v>15.3194</c:v>
                </c:pt>
                <c:pt idx="34">
                  <c:v>16.3945</c:v>
                </c:pt>
                <c:pt idx="35">
                  <c:v>16.7561</c:v>
                </c:pt>
                <c:pt idx="36">
                  <c:v>15.1375</c:v>
                </c:pt>
                <c:pt idx="37">
                  <c:v>14.9206</c:v>
                </c:pt>
                <c:pt idx="38">
                  <c:v>16.0281</c:v>
                </c:pt>
                <c:pt idx="39">
                  <c:v>15.3866</c:v>
                </c:pt>
                <c:pt idx="40">
                  <c:v>1.1628</c:v>
                </c:pt>
                <c:pt idx="41">
                  <c:v>14.5766</c:v>
                </c:pt>
                <c:pt idx="42">
                  <c:v>10.9657</c:v>
                </c:pt>
                <c:pt idx="43">
                  <c:v>16.9308</c:v>
                </c:pt>
                <c:pt idx="44">
                  <c:v>15.7184</c:v>
                </c:pt>
                <c:pt idx="45">
                  <c:v>16.4935</c:v>
                </c:pt>
                <c:pt idx="46">
                  <c:v>12.3528</c:v>
                </c:pt>
                <c:pt idx="47">
                  <c:v>17.4112</c:v>
                </c:pt>
                <c:pt idx="48">
                  <c:v>15.5309</c:v>
                </c:pt>
                <c:pt idx="49">
                  <c:v>16.4378</c:v>
                </c:pt>
                <c:pt idx="50">
                  <c:v>14.1917</c:v>
                </c:pt>
                <c:pt idx="51">
                  <c:v>12.8643</c:v>
                </c:pt>
                <c:pt idx="52">
                  <c:v>12.0315</c:v>
                </c:pt>
                <c:pt idx="53">
                  <c:v>14.8823</c:v>
                </c:pt>
                <c:pt idx="54">
                  <c:v>14.846</c:v>
                </c:pt>
                <c:pt idx="55">
                  <c:v>7.252</c:v>
                </c:pt>
                <c:pt idx="56">
                  <c:v>17.3183</c:v>
                </c:pt>
                <c:pt idx="57">
                  <c:v>13.6372</c:v>
                </c:pt>
                <c:pt idx="58">
                  <c:v>15.3495</c:v>
                </c:pt>
                <c:pt idx="59">
                  <c:v>15.3514</c:v>
                </c:pt>
                <c:pt idx="60">
                  <c:v>12.7392</c:v>
                </c:pt>
                <c:pt idx="61">
                  <c:v>14.0821</c:v>
                </c:pt>
                <c:pt idx="62">
                  <c:v>13.4426</c:v>
                </c:pt>
                <c:pt idx="63">
                  <c:v>13.0252</c:v>
                </c:pt>
                <c:pt idx="64">
                  <c:v>12.1974</c:v>
                </c:pt>
                <c:pt idx="65">
                  <c:v>14.2215</c:v>
                </c:pt>
                <c:pt idx="66">
                  <c:v>13.9989</c:v>
                </c:pt>
                <c:pt idx="67">
                  <c:v>13.415</c:v>
                </c:pt>
                <c:pt idx="68">
                  <c:v>14.7198</c:v>
                </c:pt>
                <c:pt idx="69">
                  <c:v>11.3839</c:v>
                </c:pt>
                <c:pt idx="70">
                  <c:v>15.4769</c:v>
                </c:pt>
                <c:pt idx="71">
                  <c:v>9.8364</c:v>
                </c:pt>
                <c:pt idx="72">
                  <c:v>17.9948</c:v>
                </c:pt>
                <c:pt idx="73">
                  <c:v>11.3001</c:v>
                </c:pt>
                <c:pt idx="74">
                  <c:v>12.9561</c:v>
                </c:pt>
                <c:pt idx="75">
                  <c:v>16.0537</c:v>
                </c:pt>
                <c:pt idx="76">
                  <c:v>13.7802</c:v>
                </c:pt>
                <c:pt idx="77">
                  <c:v>15.4094</c:v>
                </c:pt>
                <c:pt idx="78">
                  <c:v>15.2656</c:v>
                </c:pt>
                <c:pt idx="79">
                  <c:v>7.8688</c:v>
                </c:pt>
                <c:pt idx="80">
                  <c:v>14.0227</c:v>
                </c:pt>
                <c:pt idx="81">
                  <c:v>12.3631</c:v>
                </c:pt>
                <c:pt idx="82">
                  <c:v>10.5282</c:v>
                </c:pt>
                <c:pt idx="83">
                  <c:v>12.6071</c:v>
                </c:pt>
                <c:pt idx="84">
                  <c:v>11.045</c:v>
                </c:pt>
                <c:pt idx="85">
                  <c:v>15.1182</c:v>
                </c:pt>
                <c:pt idx="86">
                  <c:v>14.9012</c:v>
                </c:pt>
                <c:pt idx="87">
                  <c:v>12.5756</c:v>
                </c:pt>
                <c:pt idx="88">
                  <c:v>12.7576</c:v>
                </c:pt>
                <c:pt idx="89">
                  <c:v>13.8291</c:v>
                </c:pt>
                <c:pt idx="90">
                  <c:v>14.7139</c:v>
                </c:pt>
                <c:pt idx="91">
                  <c:v>16.4152</c:v>
                </c:pt>
                <c:pt idx="92">
                  <c:v>15.5018</c:v>
                </c:pt>
                <c:pt idx="93">
                  <c:v>13.8294</c:v>
                </c:pt>
                <c:pt idx="94">
                  <c:v>11.9646</c:v>
                </c:pt>
                <c:pt idx="95">
                  <c:v>7.8958</c:v>
                </c:pt>
                <c:pt idx="96">
                  <c:v>14.3372</c:v>
                </c:pt>
                <c:pt idx="97">
                  <c:v>13.8512</c:v>
                </c:pt>
                <c:pt idx="98">
                  <c:v>12.844</c:v>
                </c:pt>
                <c:pt idx="99">
                  <c:v>13.1636</c:v>
                </c:pt>
                <c:pt idx="100">
                  <c:v>14.0477</c:v>
                </c:pt>
                <c:pt idx="101">
                  <c:v>14.2132</c:v>
                </c:pt>
                <c:pt idx="102">
                  <c:v>12.481</c:v>
                </c:pt>
                <c:pt idx="103">
                  <c:v>14.5195</c:v>
                </c:pt>
                <c:pt idx="104">
                  <c:v>11.7705</c:v>
                </c:pt>
                <c:pt idx="105">
                  <c:v>16.6994</c:v>
                </c:pt>
                <c:pt idx="106">
                  <c:v>17.5029</c:v>
                </c:pt>
                <c:pt idx="107">
                  <c:v>8.9836</c:v>
                </c:pt>
                <c:pt idx="108">
                  <c:v>12.1453</c:v>
                </c:pt>
                <c:pt idx="109">
                  <c:v>14.1544</c:v>
                </c:pt>
                <c:pt idx="110">
                  <c:v>15.7751</c:v>
                </c:pt>
                <c:pt idx="111">
                  <c:v>14.7754</c:v>
                </c:pt>
                <c:pt idx="112">
                  <c:v>12.5672</c:v>
                </c:pt>
                <c:pt idx="113">
                  <c:v>13.1528</c:v>
                </c:pt>
                <c:pt idx="114">
                  <c:v>14.9444</c:v>
                </c:pt>
                <c:pt idx="115">
                  <c:v>13.8913</c:v>
                </c:pt>
                <c:pt idx="116">
                  <c:v>16.5407</c:v>
                </c:pt>
                <c:pt idx="117">
                  <c:v>11.5731</c:v>
                </c:pt>
                <c:pt idx="118">
                  <c:v>14.0638</c:v>
                </c:pt>
                <c:pt idx="119">
                  <c:v>15.0406</c:v>
                </c:pt>
                <c:pt idx="120">
                  <c:v>16.2437</c:v>
                </c:pt>
                <c:pt idx="121">
                  <c:v>11.9802</c:v>
                </c:pt>
                <c:pt idx="122">
                  <c:v>18.4521</c:v>
                </c:pt>
                <c:pt idx="123">
                  <c:v>10.355</c:v>
                </c:pt>
                <c:pt idx="124">
                  <c:v>14.1754</c:v>
                </c:pt>
                <c:pt idx="125">
                  <c:v>18.54</c:v>
                </c:pt>
                <c:pt idx="126">
                  <c:v>13.9487</c:v>
                </c:pt>
                <c:pt idx="127">
                  <c:v>12.7277</c:v>
                </c:pt>
                <c:pt idx="128">
                  <c:v>13.776</c:v>
                </c:pt>
                <c:pt idx="129">
                  <c:v>11.9831</c:v>
                </c:pt>
                <c:pt idx="130">
                  <c:v>14.8979</c:v>
                </c:pt>
                <c:pt idx="131">
                  <c:v>10.2229</c:v>
                </c:pt>
                <c:pt idx="132">
                  <c:v>14.0099</c:v>
                </c:pt>
                <c:pt idx="133">
                  <c:v>13.183</c:v>
                </c:pt>
                <c:pt idx="134">
                  <c:v>15.6695</c:v>
                </c:pt>
                <c:pt idx="135">
                  <c:v>13.4991</c:v>
                </c:pt>
                <c:pt idx="136">
                  <c:v>14.1374</c:v>
                </c:pt>
                <c:pt idx="137">
                  <c:v>13.5321</c:v>
                </c:pt>
                <c:pt idx="138">
                  <c:v>12.2665</c:v>
                </c:pt>
                <c:pt idx="139">
                  <c:v>14.6372</c:v>
                </c:pt>
                <c:pt idx="140">
                  <c:v>12.8143</c:v>
                </c:pt>
                <c:pt idx="141">
                  <c:v>14.9425</c:v>
                </c:pt>
                <c:pt idx="142">
                  <c:v>11.3372</c:v>
                </c:pt>
                <c:pt idx="143">
                  <c:v>15.8959</c:v>
                </c:pt>
                <c:pt idx="144">
                  <c:v>11.8195</c:v>
                </c:pt>
                <c:pt idx="145">
                  <c:v>11.0544</c:v>
                </c:pt>
                <c:pt idx="146">
                  <c:v>11.804</c:v>
                </c:pt>
                <c:pt idx="147">
                  <c:v>13.8144</c:v>
                </c:pt>
                <c:pt idx="148">
                  <c:v>15.0599</c:v>
                </c:pt>
                <c:pt idx="149">
                  <c:v>16.8934</c:v>
                </c:pt>
                <c:pt idx="150">
                  <c:v>6.6999</c:v>
                </c:pt>
                <c:pt idx="151">
                  <c:v>13.1637</c:v>
                </c:pt>
                <c:pt idx="152">
                  <c:v>12.8405</c:v>
                </c:pt>
                <c:pt idx="153">
                  <c:v>13.4497</c:v>
                </c:pt>
                <c:pt idx="154">
                  <c:v>10.0633</c:v>
                </c:pt>
                <c:pt idx="155">
                  <c:v>14.9724</c:v>
                </c:pt>
                <c:pt idx="156">
                  <c:v>13.1187</c:v>
                </c:pt>
                <c:pt idx="157">
                  <c:v>11.9825</c:v>
                </c:pt>
                <c:pt idx="158">
                  <c:v>14.6866</c:v>
                </c:pt>
                <c:pt idx="159">
                  <c:v>11.1579</c:v>
                </c:pt>
                <c:pt idx="160">
                  <c:v>11.8683</c:v>
                </c:pt>
                <c:pt idx="161">
                  <c:v>13.2214</c:v>
                </c:pt>
                <c:pt idx="162">
                  <c:v>11.7059</c:v>
                </c:pt>
                <c:pt idx="163">
                  <c:v>12.8654</c:v>
                </c:pt>
                <c:pt idx="164">
                  <c:v>10.1772</c:v>
                </c:pt>
                <c:pt idx="165">
                  <c:v>12.5889</c:v>
                </c:pt>
                <c:pt idx="166">
                  <c:v>11.5732</c:v>
                </c:pt>
                <c:pt idx="167">
                  <c:v>7.07</c:v>
                </c:pt>
                <c:pt idx="168">
                  <c:v>13.2619</c:v>
                </c:pt>
                <c:pt idx="169">
                  <c:v>13.5202</c:v>
                </c:pt>
                <c:pt idx="170">
                  <c:v>12.5377</c:v>
                </c:pt>
                <c:pt idx="171">
                  <c:v>15.418</c:v>
                </c:pt>
                <c:pt idx="172">
                  <c:v>10.9055</c:v>
                </c:pt>
                <c:pt idx="173">
                  <c:v>17.7937</c:v>
                </c:pt>
                <c:pt idx="174">
                  <c:v>14.2754</c:v>
                </c:pt>
                <c:pt idx="175">
                  <c:v>11.5771</c:v>
                </c:pt>
                <c:pt idx="176">
                  <c:v>16.1772</c:v>
                </c:pt>
                <c:pt idx="177">
                  <c:v>13.405</c:v>
                </c:pt>
                <c:pt idx="178">
                  <c:v>11.1036</c:v>
                </c:pt>
                <c:pt idx="179">
                  <c:v>14.2325</c:v>
                </c:pt>
                <c:pt idx="180">
                  <c:v>14.3293</c:v>
                </c:pt>
                <c:pt idx="181">
                  <c:v>13.4989</c:v>
                </c:pt>
                <c:pt idx="182">
                  <c:v>10.6381</c:v>
                </c:pt>
                <c:pt idx="183">
                  <c:v>14.7264</c:v>
                </c:pt>
                <c:pt idx="184">
                  <c:v>6.9439</c:v>
                </c:pt>
                <c:pt idx="185">
                  <c:v>17.9253</c:v>
                </c:pt>
                <c:pt idx="186">
                  <c:v>13.4998</c:v>
                </c:pt>
                <c:pt idx="187">
                  <c:v>12.8611</c:v>
                </c:pt>
                <c:pt idx="188">
                  <c:v>14.8426</c:v>
                </c:pt>
                <c:pt idx="189">
                  <c:v>12.1816</c:v>
                </c:pt>
                <c:pt idx="190">
                  <c:v>14.384</c:v>
                </c:pt>
                <c:pt idx="191">
                  <c:v>11.9974</c:v>
                </c:pt>
                <c:pt idx="192">
                  <c:v>13.4378</c:v>
                </c:pt>
                <c:pt idx="193">
                  <c:v>13.5254</c:v>
                </c:pt>
                <c:pt idx="194">
                  <c:v>12.7856</c:v>
                </c:pt>
                <c:pt idx="195">
                  <c:v>12.8981</c:v>
                </c:pt>
                <c:pt idx="196">
                  <c:v>14.5261</c:v>
                </c:pt>
                <c:pt idx="197">
                  <c:v>12.5324</c:v>
                </c:pt>
                <c:pt idx="198">
                  <c:v>11.8156</c:v>
                </c:pt>
                <c:pt idx="199">
                  <c:v>12.713</c:v>
                </c:pt>
              </c:numCache>
            </c:numRef>
          </c:yVal>
          <c:smooth val="1"/>
        </c:ser>
        <c:axId val="23755563"/>
        <c:axId val="7876865"/>
      </c:scatterChart>
      <c:valAx>
        <c:axId val="23755563"/>
        <c:scaling>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sz="1000" b="1" u="none" strike="noStrike">
                    <a:solidFill>
                      <a:srgbClr val="000000"/>
                    </a:solidFill>
                    <a:uFillTx/>
                    <a:latin typeface="Calibri"/>
                  </a:rPr>
                  <a:t>ln_dist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876865"/>
        <c:crosses val="autoZero"/>
        <c:crossBetween val="midCat"/>
      </c:valAx>
      <c:valAx>
        <c:axId val="787686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ln_trade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3755563"/>
        <c:crosses val="autoZero"/>
        <c:crossBetween val="midCat"/>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0</xdr:rowOff>
    </xdr:from>
    <xdr:to>
      <xdr:col>17</xdr:col>
      <xdr:colOff>147600</xdr:colOff>
      <xdr:row>16</xdr:row>
      <xdr:rowOff>30600</xdr:rowOff>
    </xdr:to>
    <xdr:graphicFrame>
      <xdr:nvGraphicFramePr>
        <xdr:cNvPr id="1" name="Chart 1"/>
        <xdr:cNvGraphicFramePr/>
      </xdr:nvGraphicFramePr>
      <xdr:xfrm>
        <a:off x="9140040" y="819000"/>
        <a:ext cx="503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0"/>
    <col collapsed="false" customWidth="true" hidden="false" outlineLevel="0" max="4" min="4" style="0" width="20"/>
    <col collapsed="false" customWidth="true" hidden="false" outlineLevel="0" max="5" min="5" style="0" width="15"/>
    <col collapsed="false" customWidth="true" hidden="false" outlineLevel="0" max="7" min="6" style="0" width="17"/>
    <col collapsed="false" customWidth="true" hidden="false" outlineLevel="0" max="8" min="8" style="0" width="13"/>
    <col collapsed="false" customWidth="true" hidden="false" outlineLevel="0" max="9" min="9" style="0" width="12"/>
    <col collapsed="false" customWidth="true" hidden="false" outlineLevel="0" max="12" min="10" style="0" width="10"/>
    <col collapsed="false" customWidth="true" hidden="false" outlineLevel="0" max="13" min="13" style="0" width="11"/>
    <col collapsed="false" customWidth="true" hidden="false" outlineLevel="0" max="14" min="14" style="0" width="16"/>
    <col collapsed="false" customWidth="true" hidden="false" outlineLevel="0" max="16" min="15"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2" t="s">
        <v>16</v>
      </c>
      <c r="B2" s="2" t="s">
        <v>17</v>
      </c>
      <c r="C2" s="2" t="s">
        <v>18</v>
      </c>
      <c r="D2" s="2" t="s">
        <v>19</v>
      </c>
      <c r="E2" s="3" t="n">
        <v>25338424.4</v>
      </c>
      <c r="F2" s="3" t="n">
        <v>2270468</v>
      </c>
      <c r="G2" s="3" t="n">
        <v>2625843.8</v>
      </c>
      <c r="H2" s="3" t="n">
        <v>1501.6</v>
      </c>
      <c r="I2" s="4" t="n">
        <v>17.0478</v>
      </c>
      <c r="J2" s="4" t="n">
        <v>7.3143</v>
      </c>
      <c r="K2" s="4" t="n">
        <v>14.6355</v>
      </c>
      <c r="L2" s="4" t="n">
        <v>14.7809</v>
      </c>
      <c r="M2" s="5" t="n">
        <v>0</v>
      </c>
      <c r="N2" s="5" t="n">
        <v>0</v>
      </c>
      <c r="O2" s="5" t="n">
        <v>1</v>
      </c>
      <c r="P2" s="5" t="n">
        <v>0</v>
      </c>
    </row>
    <row r="3" customFormat="false" ht="15" hidden="false" customHeight="false" outlineLevel="0" collapsed="false">
      <c r="A3" s="2" t="s">
        <v>20</v>
      </c>
      <c r="B3" s="2" t="s">
        <v>21</v>
      </c>
      <c r="C3" s="2" t="s">
        <v>22</v>
      </c>
      <c r="D3" s="2" t="s">
        <v>23</v>
      </c>
      <c r="E3" s="3" t="n">
        <v>83673.3</v>
      </c>
      <c r="F3" s="3" t="n">
        <v>554078.6</v>
      </c>
      <c r="G3" s="3" t="n">
        <v>569957.4</v>
      </c>
      <c r="H3" s="3" t="n">
        <v>1975.7</v>
      </c>
      <c r="I3" s="4" t="n">
        <v>11.3347</v>
      </c>
      <c r="J3" s="4" t="n">
        <v>7.5887</v>
      </c>
      <c r="K3" s="4" t="n">
        <v>13.2251</v>
      </c>
      <c r="L3" s="4" t="n">
        <v>13.2533</v>
      </c>
      <c r="M3" s="5" t="n">
        <v>0</v>
      </c>
      <c r="N3" s="5" t="n">
        <v>1</v>
      </c>
      <c r="O3" s="5" t="n">
        <v>0</v>
      </c>
      <c r="P3" s="5" t="n">
        <v>0</v>
      </c>
    </row>
    <row r="4" customFormat="false" ht="15" hidden="false" customHeight="false" outlineLevel="0" collapsed="false">
      <c r="A4" s="2" t="s">
        <v>24</v>
      </c>
      <c r="B4" s="2" t="s">
        <v>25</v>
      </c>
      <c r="C4" s="2" t="s">
        <v>26</v>
      </c>
      <c r="D4" s="2" t="s">
        <v>27</v>
      </c>
      <c r="E4" s="3" t="n">
        <v>44097440.7</v>
      </c>
      <c r="F4" s="3" t="n">
        <v>476003.9</v>
      </c>
      <c r="G4" s="3" t="n">
        <v>2689070</v>
      </c>
      <c r="H4" s="3" t="n">
        <v>734.2</v>
      </c>
      <c r="I4" s="4" t="n">
        <v>17.6019</v>
      </c>
      <c r="J4" s="4" t="n">
        <v>6.5987</v>
      </c>
      <c r="K4" s="4" t="n">
        <v>13.0732</v>
      </c>
      <c r="L4" s="4" t="n">
        <v>14.8047</v>
      </c>
      <c r="M4" s="5" t="n">
        <v>1</v>
      </c>
      <c r="N4" s="5" t="n">
        <v>1</v>
      </c>
      <c r="O4" s="5" t="n">
        <v>1</v>
      </c>
      <c r="P4" s="5" t="n">
        <v>0</v>
      </c>
    </row>
    <row r="5" customFormat="false" ht="15" hidden="false" customHeight="false" outlineLevel="0" collapsed="false">
      <c r="A5" s="2" t="s">
        <v>28</v>
      </c>
      <c r="B5" s="2" t="s">
        <v>29</v>
      </c>
      <c r="C5" s="2" t="s">
        <v>30</v>
      </c>
      <c r="D5" s="2" t="s">
        <v>31</v>
      </c>
      <c r="E5" s="3" t="n">
        <v>1275806.4</v>
      </c>
      <c r="F5" s="3" t="n">
        <v>1309675</v>
      </c>
      <c r="G5" s="3" t="n">
        <v>1041614.3</v>
      </c>
      <c r="H5" s="3" t="n">
        <v>3748</v>
      </c>
      <c r="I5" s="4" t="n">
        <v>14.0591</v>
      </c>
      <c r="J5" s="4" t="n">
        <v>8.229</v>
      </c>
      <c r="K5" s="4" t="n">
        <v>14.0853</v>
      </c>
      <c r="L5" s="4" t="n">
        <v>13.8563</v>
      </c>
      <c r="M5" s="5" t="n">
        <v>0</v>
      </c>
      <c r="N5" s="5" t="n">
        <v>0</v>
      </c>
      <c r="O5" s="5" t="n">
        <v>0</v>
      </c>
      <c r="P5" s="5" t="n">
        <v>0</v>
      </c>
    </row>
    <row r="6" customFormat="false" ht="15" hidden="false" customHeight="false" outlineLevel="0" collapsed="false">
      <c r="A6" s="2" t="s">
        <v>32</v>
      </c>
      <c r="B6" s="2" t="s">
        <v>33</v>
      </c>
      <c r="C6" s="2" t="s">
        <v>34</v>
      </c>
      <c r="D6" s="2" t="s">
        <v>35</v>
      </c>
      <c r="E6" s="3" t="n">
        <v>51764290.5</v>
      </c>
      <c r="F6" s="3" t="n">
        <v>17797724</v>
      </c>
      <c r="G6" s="3" t="n">
        <v>1102635</v>
      </c>
      <c r="H6" s="3" t="n">
        <v>2679.9</v>
      </c>
      <c r="I6" s="4" t="n">
        <v>17.7622</v>
      </c>
      <c r="J6" s="4" t="n">
        <v>7.8936</v>
      </c>
      <c r="K6" s="4" t="n">
        <v>16.6946</v>
      </c>
      <c r="L6" s="4" t="n">
        <v>13.9132</v>
      </c>
      <c r="M6" s="5" t="n">
        <v>0</v>
      </c>
      <c r="N6" s="5" t="n">
        <v>0</v>
      </c>
      <c r="O6" s="5" t="n">
        <v>1</v>
      </c>
      <c r="P6" s="5" t="n">
        <v>0</v>
      </c>
    </row>
    <row r="7" customFormat="false" ht="15" hidden="false" customHeight="false" outlineLevel="0" collapsed="false">
      <c r="A7" s="2" t="s">
        <v>36</v>
      </c>
      <c r="B7" s="2" t="s">
        <v>37</v>
      </c>
      <c r="C7" s="2" t="s">
        <v>28</v>
      </c>
      <c r="D7" s="2" t="s">
        <v>29</v>
      </c>
      <c r="E7" s="3" t="n">
        <v>10549.8</v>
      </c>
      <c r="F7" s="3" t="n">
        <v>611053.3</v>
      </c>
      <c r="G7" s="3" t="n">
        <v>1309675</v>
      </c>
      <c r="H7" s="3" t="n">
        <v>1162.3</v>
      </c>
      <c r="I7" s="4" t="n">
        <v>9.2639</v>
      </c>
      <c r="J7" s="4" t="n">
        <v>7.0581</v>
      </c>
      <c r="K7" s="4" t="n">
        <v>13.3229</v>
      </c>
      <c r="L7" s="4" t="n">
        <v>14.0853</v>
      </c>
      <c r="M7" s="5" t="n">
        <v>1</v>
      </c>
      <c r="N7" s="5" t="n">
        <v>1</v>
      </c>
      <c r="O7" s="5" t="n">
        <v>1</v>
      </c>
      <c r="P7" s="5" t="n">
        <v>1</v>
      </c>
    </row>
    <row r="8" customFormat="false" ht="15" hidden="false" customHeight="false" outlineLevel="0" collapsed="false">
      <c r="A8" s="2" t="s">
        <v>38</v>
      </c>
      <c r="B8" s="2" t="s">
        <v>39</v>
      </c>
      <c r="C8" s="2" t="s">
        <v>40</v>
      </c>
      <c r="D8" s="2" t="s">
        <v>41</v>
      </c>
      <c r="E8" s="3" t="n">
        <v>65400.4</v>
      </c>
      <c r="F8" s="3" t="n">
        <v>522118.3</v>
      </c>
      <c r="G8" s="3" t="n">
        <v>558580.2</v>
      </c>
      <c r="H8" s="3" t="n">
        <v>1370.4</v>
      </c>
      <c r="I8" s="4" t="n">
        <v>11.0883</v>
      </c>
      <c r="J8" s="4" t="n">
        <v>7.2229</v>
      </c>
      <c r="K8" s="4" t="n">
        <v>13.1656</v>
      </c>
      <c r="L8" s="4" t="n">
        <v>13.2332</v>
      </c>
      <c r="M8" s="5" t="n">
        <v>0</v>
      </c>
      <c r="N8" s="5" t="n">
        <v>1</v>
      </c>
      <c r="O8" s="5" t="n">
        <v>0</v>
      </c>
      <c r="P8" s="5" t="n">
        <v>0</v>
      </c>
    </row>
    <row r="9" customFormat="false" ht="15" hidden="false" customHeight="false" outlineLevel="0" collapsed="false">
      <c r="A9" s="2" t="s">
        <v>42</v>
      </c>
      <c r="B9" s="2" t="s">
        <v>43</v>
      </c>
      <c r="C9" s="2" t="s">
        <v>44</v>
      </c>
      <c r="D9" s="2" t="s">
        <v>45</v>
      </c>
      <c r="E9" s="3" t="n">
        <v>2183585.7</v>
      </c>
      <c r="F9" s="3" t="n">
        <v>1667510.2</v>
      </c>
      <c r="G9" s="3" t="n">
        <v>485827</v>
      </c>
      <c r="H9" s="3" t="n">
        <v>2404.4</v>
      </c>
      <c r="I9" s="4" t="n">
        <v>14.5965</v>
      </c>
      <c r="J9" s="4" t="n">
        <v>7.7851</v>
      </c>
      <c r="K9" s="4" t="n">
        <v>14.3268</v>
      </c>
      <c r="L9" s="4" t="n">
        <v>13.0936</v>
      </c>
      <c r="M9" s="5" t="n">
        <v>0</v>
      </c>
      <c r="N9" s="5" t="n">
        <v>0</v>
      </c>
      <c r="O9" s="5" t="n">
        <v>1</v>
      </c>
      <c r="P9" s="5" t="n">
        <v>0</v>
      </c>
    </row>
    <row r="10" customFormat="false" ht="15" hidden="false" customHeight="false" outlineLevel="0" collapsed="false">
      <c r="A10" s="2" t="s">
        <v>46</v>
      </c>
      <c r="B10" s="2" t="s">
        <v>47</v>
      </c>
      <c r="C10" s="2" t="s">
        <v>34</v>
      </c>
      <c r="D10" s="2" t="s">
        <v>35</v>
      </c>
      <c r="E10" s="3" t="n">
        <v>5551217.5</v>
      </c>
      <c r="F10" s="3" t="n">
        <v>2741298</v>
      </c>
      <c r="G10" s="3" t="n">
        <v>1102635</v>
      </c>
      <c r="H10" s="3" t="n">
        <v>2349.4</v>
      </c>
      <c r="I10" s="4" t="n">
        <v>15.5295</v>
      </c>
      <c r="J10" s="4" t="n">
        <v>7.7619</v>
      </c>
      <c r="K10" s="4" t="n">
        <v>14.8239</v>
      </c>
      <c r="L10" s="4" t="n">
        <v>13.9132</v>
      </c>
      <c r="M10" s="5" t="n">
        <v>0</v>
      </c>
      <c r="N10" s="5" t="n">
        <v>1</v>
      </c>
      <c r="O10" s="5" t="n">
        <v>1</v>
      </c>
      <c r="P10" s="5" t="n">
        <v>0</v>
      </c>
    </row>
    <row r="11" customFormat="false" ht="15" hidden="false" customHeight="false" outlineLevel="0" collapsed="false">
      <c r="A11" s="2" t="s">
        <v>26</v>
      </c>
      <c r="B11" s="2" t="s">
        <v>27</v>
      </c>
      <c r="C11" s="2" t="s">
        <v>48</v>
      </c>
      <c r="D11" s="2" t="s">
        <v>49</v>
      </c>
      <c r="E11" s="3" t="n">
        <v>2506415.7</v>
      </c>
      <c r="F11" s="3" t="n">
        <v>2689070</v>
      </c>
      <c r="G11" s="3" t="n">
        <v>1103773.9</v>
      </c>
      <c r="H11" s="3" t="n">
        <v>3262.1</v>
      </c>
      <c r="I11" s="4" t="n">
        <v>14.7344</v>
      </c>
      <c r="J11" s="4" t="n">
        <v>8.0901</v>
      </c>
      <c r="K11" s="4" t="n">
        <v>14.8047</v>
      </c>
      <c r="L11" s="4" t="n">
        <v>13.9142</v>
      </c>
      <c r="M11" s="5" t="n">
        <v>0</v>
      </c>
      <c r="N11" s="5" t="n">
        <v>1</v>
      </c>
      <c r="O11" s="5" t="n">
        <v>1</v>
      </c>
      <c r="P11" s="5" t="n">
        <v>0</v>
      </c>
    </row>
    <row r="12" customFormat="false" ht="15" hidden="false" customHeight="false" outlineLevel="0" collapsed="false">
      <c r="A12" s="2" t="s">
        <v>50</v>
      </c>
      <c r="B12" s="2" t="s">
        <v>51</v>
      </c>
      <c r="C12" s="2" t="s">
        <v>40</v>
      </c>
      <c r="D12" s="2" t="s">
        <v>41</v>
      </c>
      <c r="E12" s="3" t="n">
        <v>1476551.5</v>
      </c>
      <c r="F12" s="3" t="n">
        <v>2189993.8</v>
      </c>
      <c r="G12" s="3" t="n">
        <v>558580.2</v>
      </c>
      <c r="H12" s="3" t="n">
        <v>2170.8</v>
      </c>
      <c r="I12" s="4" t="n">
        <v>14.2052</v>
      </c>
      <c r="J12" s="4" t="n">
        <v>7.6829</v>
      </c>
      <c r="K12" s="4" t="n">
        <v>14.5994</v>
      </c>
      <c r="L12" s="4" t="n">
        <v>13.2332</v>
      </c>
      <c r="M12" s="5" t="n">
        <v>0</v>
      </c>
      <c r="N12" s="5" t="n">
        <v>0</v>
      </c>
      <c r="O12" s="5" t="n">
        <v>1</v>
      </c>
      <c r="P12" s="5" t="n">
        <v>0</v>
      </c>
    </row>
    <row r="13" customFormat="false" ht="15" hidden="false" customHeight="false" outlineLevel="0" collapsed="false">
      <c r="A13" s="2" t="s">
        <v>40</v>
      </c>
      <c r="B13" s="2" t="s">
        <v>41</v>
      </c>
      <c r="C13" s="2" t="s">
        <v>38</v>
      </c>
      <c r="D13" s="2" t="s">
        <v>39</v>
      </c>
      <c r="E13" s="3" t="n">
        <v>287793</v>
      </c>
      <c r="F13" s="3" t="n">
        <v>558580.2</v>
      </c>
      <c r="G13" s="3" t="n">
        <v>522118.3</v>
      </c>
      <c r="H13" s="3" t="n">
        <v>1370.4</v>
      </c>
      <c r="I13" s="4" t="n">
        <v>12.57</v>
      </c>
      <c r="J13" s="4" t="n">
        <v>7.2229</v>
      </c>
      <c r="K13" s="4" t="n">
        <v>13.2332</v>
      </c>
      <c r="L13" s="4" t="n">
        <v>13.1656</v>
      </c>
      <c r="M13" s="5" t="n">
        <v>0</v>
      </c>
      <c r="N13" s="5" t="n">
        <v>1</v>
      </c>
      <c r="O13" s="5" t="n">
        <v>0</v>
      </c>
      <c r="P13" s="5" t="n">
        <v>0</v>
      </c>
    </row>
    <row r="14" customFormat="false" ht="15" hidden="false" customHeight="false" outlineLevel="0" collapsed="false">
      <c r="A14" s="2" t="s">
        <v>28</v>
      </c>
      <c r="B14" s="2" t="s">
        <v>29</v>
      </c>
      <c r="C14" s="2" t="s">
        <v>48</v>
      </c>
      <c r="D14" s="2" t="s">
        <v>49</v>
      </c>
      <c r="E14" s="3" t="n">
        <v>3569115.1</v>
      </c>
      <c r="F14" s="3" t="n">
        <v>1309675</v>
      </c>
      <c r="G14" s="3" t="n">
        <v>1103773.9</v>
      </c>
      <c r="H14" s="3" t="n">
        <v>1464.6</v>
      </c>
      <c r="I14" s="4" t="n">
        <v>15.0878</v>
      </c>
      <c r="J14" s="4" t="n">
        <v>7.2894</v>
      </c>
      <c r="K14" s="4" t="n">
        <v>14.0853</v>
      </c>
      <c r="L14" s="4" t="n">
        <v>13.9142</v>
      </c>
      <c r="M14" s="5" t="n">
        <v>0</v>
      </c>
      <c r="N14" s="5" t="n">
        <v>1</v>
      </c>
      <c r="O14" s="5" t="n">
        <v>1</v>
      </c>
      <c r="P14" s="5" t="n">
        <v>0</v>
      </c>
    </row>
    <row r="15" customFormat="false" ht="15" hidden="false" customHeight="false" outlineLevel="0" collapsed="false">
      <c r="A15" s="2" t="s">
        <v>32</v>
      </c>
      <c r="B15" s="2" t="s">
        <v>33</v>
      </c>
      <c r="C15" s="2" t="s">
        <v>52</v>
      </c>
      <c r="D15" s="2" t="s">
        <v>53</v>
      </c>
      <c r="E15" s="3" t="n">
        <v>52193391.5</v>
      </c>
      <c r="F15" s="3" t="n">
        <v>17797724</v>
      </c>
      <c r="G15" s="3" t="n">
        <v>743163.9</v>
      </c>
      <c r="H15" s="3" t="n">
        <v>3559.4</v>
      </c>
      <c r="I15" s="4" t="n">
        <v>17.7705</v>
      </c>
      <c r="J15" s="4" t="n">
        <v>8.1773</v>
      </c>
      <c r="K15" s="4" t="n">
        <v>16.6946</v>
      </c>
      <c r="L15" s="4" t="n">
        <v>13.5187</v>
      </c>
      <c r="M15" s="5" t="n">
        <v>0</v>
      </c>
      <c r="N15" s="5" t="n">
        <v>1</v>
      </c>
      <c r="O15" s="5" t="n">
        <v>1</v>
      </c>
      <c r="P15" s="5" t="n">
        <v>0</v>
      </c>
    </row>
    <row r="16" customFormat="false" ht="15" hidden="false" customHeight="false" outlineLevel="0" collapsed="false">
      <c r="A16" s="2" t="s">
        <v>18</v>
      </c>
      <c r="B16" s="2" t="s">
        <v>19</v>
      </c>
      <c r="C16" s="2" t="s">
        <v>54</v>
      </c>
      <c r="D16" s="2" t="s">
        <v>55</v>
      </c>
      <c r="E16" s="3" t="n">
        <v>40101224.8</v>
      </c>
      <c r="F16" s="3" t="n">
        <v>2625843.8</v>
      </c>
      <c r="G16" s="3" t="n">
        <v>4042900.2</v>
      </c>
      <c r="H16" s="3" t="n">
        <v>816.8</v>
      </c>
      <c r="I16" s="4" t="n">
        <v>17.5069</v>
      </c>
      <c r="J16" s="4" t="n">
        <v>6.7053</v>
      </c>
      <c r="K16" s="4" t="n">
        <v>14.7809</v>
      </c>
      <c r="L16" s="4" t="n">
        <v>15.2125</v>
      </c>
      <c r="M16" s="5" t="n">
        <v>0</v>
      </c>
      <c r="N16" s="5" t="n">
        <v>0</v>
      </c>
      <c r="O16" s="5" t="n">
        <v>1</v>
      </c>
      <c r="P16" s="5" t="n">
        <v>0</v>
      </c>
    </row>
    <row r="17" customFormat="false" ht="15" hidden="false" customHeight="false" outlineLevel="0" collapsed="false">
      <c r="A17" s="2" t="s">
        <v>56</v>
      </c>
      <c r="B17" s="2" t="s">
        <v>57</v>
      </c>
      <c r="C17" s="2" t="s">
        <v>44</v>
      </c>
      <c r="D17" s="2" t="s">
        <v>45</v>
      </c>
      <c r="E17" s="3" t="n">
        <v>2109867.1</v>
      </c>
      <c r="F17" s="3" t="n">
        <v>3331626.2</v>
      </c>
      <c r="G17" s="3" t="n">
        <v>485827</v>
      </c>
      <c r="H17" s="3" t="n">
        <v>2462.2</v>
      </c>
      <c r="I17" s="4" t="n">
        <v>14.5621</v>
      </c>
      <c r="J17" s="4" t="n">
        <v>7.8088</v>
      </c>
      <c r="K17" s="4" t="n">
        <v>15.019</v>
      </c>
      <c r="L17" s="4" t="n">
        <v>13.0936</v>
      </c>
      <c r="M17" s="5" t="n">
        <v>0</v>
      </c>
      <c r="N17" s="5" t="n">
        <v>0</v>
      </c>
      <c r="O17" s="5" t="n">
        <v>0</v>
      </c>
      <c r="P17" s="5" t="n">
        <v>0</v>
      </c>
    </row>
    <row r="18" customFormat="false" ht="15" hidden="false" customHeight="false" outlineLevel="0" collapsed="false">
      <c r="A18" s="2" t="s">
        <v>58</v>
      </c>
      <c r="B18" s="2" t="s">
        <v>59</v>
      </c>
      <c r="C18" s="2" t="s">
        <v>20</v>
      </c>
      <c r="D18" s="2" t="s">
        <v>21</v>
      </c>
      <c r="E18" s="3" t="n">
        <v>1000401.8</v>
      </c>
      <c r="F18" s="3" t="n">
        <v>639613.9</v>
      </c>
      <c r="G18" s="3" t="n">
        <v>554078.6</v>
      </c>
      <c r="H18" s="3" t="n">
        <v>3571.9</v>
      </c>
      <c r="I18" s="4" t="n">
        <v>13.8159</v>
      </c>
      <c r="J18" s="4" t="n">
        <v>8.1808</v>
      </c>
      <c r="K18" s="4" t="n">
        <v>13.3686</v>
      </c>
      <c r="L18" s="4" t="n">
        <v>13.2251</v>
      </c>
      <c r="M18" s="5" t="n">
        <v>0</v>
      </c>
      <c r="N18" s="5" t="n">
        <v>1</v>
      </c>
      <c r="O18" s="5" t="n">
        <v>0</v>
      </c>
      <c r="P18" s="5" t="n">
        <v>0</v>
      </c>
    </row>
    <row r="19" customFormat="false" ht="15" hidden="false" customHeight="false" outlineLevel="0" collapsed="false">
      <c r="A19" s="2" t="s">
        <v>44</v>
      </c>
      <c r="B19" s="2" t="s">
        <v>45</v>
      </c>
      <c r="C19" s="2" t="s">
        <v>40</v>
      </c>
      <c r="D19" s="2" t="s">
        <v>41</v>
      </c>
      <c r="E19" s="3" t="n">
        <v>831650.9</v>
      </c>
      <c r="F19" s="3" t="n">
        <v>485827</v>
      </c>
      <c r="G19" s="3" t="n">
        <v>558580.2</v>
      </c>
      <c r="H19" s="3" t="n">
        <v>1385.5</v>
      </c>
      <c r="I19" s="4" t="n">
        <v>13.6312</v>
      </c>
      <c r="J19" s="4" t="n">
        <v>7.2338</v>
      </c>
      <c r="K19" s="4" t="n">
        <v>13.0936</v>
      </c>
      <c r="L19" s="4" t="n">
        <v>13.2332</v>
      </c>
      <c r="M19" s="5" t="n">
        <v>0</v>
      </c>
      <c r="N19" s="5" t="n">
        <v>0</v>
      </c>
      <c r="O19" s="5" t="n">
        <v>1</v>
      </c>
      <c r="P19" s="5" t="n">
        <v>0</v>
      </c>
    </row>
    <row r="20" customFormat="false" ht="15" hidden="false" customHeight="false" outlineLevel="0" collapsed="false">
      <c r="A20" s="2" t="s">
        <v>50</v>
      </c>
      <c r="B20" s="2" t="s">
        <v>51</v>
      </c>
      <c r="C20" s="2" t="s">
        <v>60</v>
      </c>
      <c r="D20" s="2" t="s">
        <v>61</v>
      </c>
      <c r="E20" s="3" t="n">
        <v>1373812.1</v>
      </c>
      <c r="F20" s="3" t="n">
        <v>2189993.8</v>
      </c>
      <c r="G20" s="3" t="n">
        <v>442183.8</v>
      </c>
      <c r="H20" s="3" t="n">
        <v>2484.8</v>
      </c>
      <c r="I20" s="4" t="n">
        <v>14.1331</v>
      </c>
      <c r="J20" s="4" t="n">
        <v>7.818</v>
      </c>
      <c r="K20" s="4" t="n">
        <v>14.5994</v>
      </c>
      <c r="L20" s="4" t="n">
        <v>12.9995</v>
      </c>
      <c r="M20" s="5" t="n">
        <v>0</v>
      </c>
      <c r="N20" s="5" t="n">
        <v>0</v>
      </c>
      <c r="O20" s="5" t="n">
        <v>0</v>
      </c>
      <c r="P20" s="5" t="n">
        <v>0</v>
      </c>
    </row>
    <row r="21" customFormat="false" ht="15" hidden="false" customHeight="false" outlineLevel="0" collapsed="false">
      <c r="A21" s="2" t="s">
        <v>48</v>
      </c>
      <c r="B21" s="2" t="s">
        <v>49</v>
      </c>
      <c r="C21" s="2" t="s">
        <v>62</v>
      </c>
      <c r="D21" s="2" t="s">
        <v>63</v>
      </c>
      <c r="E21" s="3" t="n">
        <v>537886.8</v>
      </c>
      <c r="F21" s="3" t="n">
        <v>1103773.9</v>
      </c>
      <c r="G21" s="3" t="n">
        <v>848082.2</v>
      </c>
      <c r="H21" s="3" t="n">
        <v>3278</v>
      </c>
      <c r="I21" s="4" t="n">
        <v>13.1954</v>
      </c>
      <c r="J21" s="4" t="n">
        <v>8.095</v>
      </c>
      <c r="K21" s="4" t="n">
        <v>13.9142</v>
      </c>
      <c r="L21" s="4" t="n">
        <v>13.6507</v>
      </c>
      <c r="M21" s="5" t="n">
        <v>0</v>
      </c>
      <c r="N21" s="5" t="n">
        <v>0</v>
      </c>
      <c r="O21" s="5" t="n">
        <v>1</v>
      </c>
      <c r="P21" s="5" t="n">
        <v>0</v>
      </c>
    </row>
    <row r="22" customFormat="false" ht="15" hidden="false" customHeight="false" outlineLevel="0" collapsed="false">
      <c r="A22" s="2" t="s">
        <v>64</v>
      </c>
      <c r="B22" s="2" t="s">
        <v>65</v>
      </c>
      <c r="C22" s="2" t="s">
        <v>66</v>
      </c>
      <c r="D22" s="2" t="s">
        <v>67</v>
      </c>
      <c r="E22" s="3" t="n">
        <v>7671842</v>
      </c>
      <c r="F22" s="3" t="n">
        <v>732951</v>
      </c>
      <c r="G22" s="3" t="n">
        <v>2905474.5</v>
      </c>
      <c r="H22" s="3" t="n">
        <v>2401.4</v>
      </c>
      <c r="I22" s="4" t="n">
        <v>15.8531</v>
      </c>
      <c r="J22" s="4" t="n">
        <v>7.7838</v>
      </c>
      <c r="K22" s="4" t="n">
        <v>13.5048</v>
      </c>
      <c r="L22" s="4" t="n">
        <v>14.8821</v>
      </c>
      <c r="M22" s="5" t="n">
        <v>1</v>
      </c>
      <c r="N22" s="5" t="n">
        <v>1</v>
      </c>
      <c r="O22" s="5" t="n">
        <v>1</v>
      </c>
      <c r="P22" s="5" t="n">
        <v>0</v>
      </c>
    </row>
    <row r="23" customFormat="false" ht="15" hidden="false" customHeight="false" outlineLevel="0" collapsed="false">
      <c r="A23" s="2" t="s">
        <v>68</v>
      </c>
      <c r="B23" s="2" t="s">
        <v>69</v>
      </c>
      <c r="C23" s="2" t="s">
        <v>70</v>
      </c>
      <c r="D23" s="2" t="s">
        <v>71</v>
      </c>
      <c r="E23" s="3" t="n">
        <v>275421.5</v>
      </c>
      <c r="F23" s="3" t="n">
        <v>1306574.1</v>
      </c>
      <c r="G23" s="3" t="n">
        <v>8411253</v>
      </c>
      <c r="H23" s="3" t="n">
        <v>3021.4</v>
      </c>
      <c r="I23" s="4" t="n">
        <v>12.5261</v>
      </c>
      <c r="J23" s="4" t="n">
        <v>8.0135</v>
      </c>
      <c r="K23" s="4" t="n">
        <v>14.0829</v>
      </c>
      <c r="L23" s="4" t="n">
        <v>15.9451</v>
      </c>
      <c r="M23" s="5" t="n">
        <v>0</v>
      </c>
      <c r="N23" s="5" t="n">
        <v>0</v>
      </c>
      <c r="O23" s="5" t="n">
        <v>0</v>
      </c>
      <c r="P23" s="5" t="n">
        <v>0</v>
      </c>
    </row>
    <row r="24" customFormat="false" ht="15" hidden="false" customHeight="false" outlineLevel="0" collapsed="false">
      <c r="A24" s="2" t="s">
        <v>54</v>
      </c>
      <c r="B24" s="2" t="s">
        <v>55</v>
      </c>
      <c r="C24" s="2" t="s">
        <v>56</v>
      </c>
      <c r="D24" s="2" t="s">
        <v>57</v>
      </c>
      <c r="E24" s="3" t="n">
        <v>26290821.8</v>
      </c>
      <c r="F24" s="3" t="n">
        <v>4042900.2</v>
      </c>
      <c r="G24" s="3" t="n">
        <v>3331626.2</v>
      </c>
      <c r="H24" s="3" t="n">
        <v>3023.4</v>
      </c>
      <c r="I24" s="4" t="n">
        <v>17.0847</v>
      </c>
      <c r="J24" s="4" t="n">
        <v>8.0141</v>
      </c>
      <c r="K24" s="4" t="n">
        <v>15.2125</v>
      </c>
      <c r="L24" s="4" t="n">
        <v>15.019</v>
      </c>
      <c r="M24" s="5" t="n">
        <v>0</v>
      </c>
      <c r="N24" s="5" t="n">
        <v>0</v>
      </c>
      <c r="O24" s="5" t="n">
        <v>0</v>
      </c>
      <c r="P24" s="5" t="n">
        <v>0</v>
      </c>
    </row>
    <row r="25" customFormat="false" ht="15" hidden="false" customHeight="false" outlineLevel="0" collapsed="false">
      <c r="A25" s="2" t="s">
        <v>72</v>
      </c>
      <c r="B25" s="2" t="s">
        <v>73</v>
      </c>
      <c r="C25" s="2" t="s">
        <v>52</v>
      </c>
      <c r="D25" s="2" t="s">
        <v>53</v>
      </c>
      <c r="E25" s="3" t="n">
        <v>1994973.3</v>
      </c>
      <c r="F25" s="3" t="n">
        <v>800424.5</v>
      </c>
      <c r="G25" s="3" t="n">
        <v>743163.9</v>
      </c>
      <c r="H25" s="3" t="n">
        <v>2273.2</v>
      </c>
      <c r="I25" s="4" t="n">
        <v>14.5061</v>
      </c>
      <c r="J25" s="4" t="n">
        <v>7.7289</v>
      </c>
      <c r="K25" s="4" t="n">
        <v>13.5929</v>
      </c>
      <c r="L25" s="4" t="n">
        <v>13.5187</v>
      </c>
      <c r="M25" s="5" t="n">
        <v>0</v>
      </c>
      <c r="N25" s="5" t="n">
        <v>1</v>
      </c>
      <c r="O25" s="5" t="n">
        <v>1</v>
      </c>
      <c r="P25" s="5" t="n">
        <v>0</v>
      </c>
    </row>
    <row r="26" customFormat="false" ht="15" hidden="false" customHeight="false" outlineLevel="0" collapsed="false">
      <c r="A26" s="2" t="s">
        <v>72</v>
      </c>
      <c r="B26" s="2" t="s">
        <v>73</v>
      </c>
      <c r="C26" s="2" t="s">
        <v>20</v>
      </c>
      <c r="D26" s="2" t="s">
        <v>21</v>
      </c>
      <c r="E26" s="3" t="n">
        <v>18758.9</v>
      </c>
      <c r="F26" s="3" t="n">
        <v>800424.5</v>
      </c>
      <c r="G26" s="3" t="n">
        <v>554078.6</v>
      </c>
      <c r="H26" s="3" t="n">
        <v>3560.1</v>
      </c>
      <c r="I26" s="4" t="n">
        <v>9.8394</v>
      </c>
      <c r="J26" s="4" t="n">
        <v>8.1775</v>
      </c>
      <c r="K26" s="4" t="n">
        <v>13.5929</v>
      </c>
      <c r="L26" s="4" t="n">
        <v>13.2251</v>
      </c>
      <c r="M26" s="5" t="n">
        <v>0</v>
      </c>
      <c r="N26" s="5" t="n">
        <v>1</v>
      </c>
      <c r="O26" s="5" t="n">
        <v>0</v>
      </c>
      <c r="P26" s="5" t="n">
        <v>0</v>
      </c>
    </row>
    <row r="27" customFormat="false" ht="15" hidden="false" customHeight="false" outlineLevel="0" collapsed="false">
      <c r="A27" s="2" t="s">
        <v>16</v>
      </c>
      <c r="B27" s="2" t="s">
        <v>17</v>
      </c>
      <c r="C27" s="2" t="s">
        <v>36</v>
      </c>
      <c r="D27" s="2" t="s">
        <v>37</v>
      </c>
      <c r="E27" s="3" t="n">
        <v>608488.3</v>
      </c>
      <c r="F27" s="3" t="n">
        <v>2270468</v>
      </c>
      <c r="G27" s="3" t="n">
        <v>611053.3</v>
      </c>
      <c r="H27" s="3" t="n">
        <v>3007.4</v>
      </c>
      <c r="I27" s="4" t="n">
        <v>13.3187</v>
      </c>
      <c r="J27" s="4" t="n">
        <v>8.0088</v>
      </c>
      <c r="K27" s="4" t="n">
        <v>14.6355</v>
      </c>
      <c r="L27" s="4" t="n">
        <v>13.3229</v>
      </c>
      <c r="M27" s="5" t="n">
        <v>0</v>
      </c>
      <c r="N27" s="5" t="n">
        <v>0</v>
      </c>
      <c r="O27" s="5" t="n">
        <v>0</v>
      </c>
      <c r="P27" s="5" t="n">
        <v>0</v>
      </c>
    </row>
    <row r="28" customFormat="false" ht="15" hidden="false" customHeight="false" outlineLevel="0" collapsed="false">
      <c r="A28" s="2" t="s">
        <v>52</v>
      </c>
      <c r="B28" s="2" t="s">
        <v>53</v>
      </c>
      <c r="C28" s="2" t="s">
        <v>22</v>
      </c>
      <c r="D28" s="2" t="s">
        <v>23</v>
      </c>
      <c r="E28" s="3" t="n">
        <v>7278279.3</v>
      </c>
      <c r="F28" s="3" t="n">
        <v>743163.9</v>
      </c>
      <c r="G28" s="3" t="n">
        <v>569957.4</v>
      </c>
      <c r="H28" s="3" t="n">
        <v>1440</v>
      </c>
      <c r="I28" s="4" t="n">
        <v>15.8004</v>
      </c>
      <c r="J28" s="4" t="n">
        <v>7.2724</v>
      </c>
      <c r="K28" s="4" t="n">
        <v>13.5187</v>
      </c>
      <c r="L28" s="4" t="n">
        <v>13.2533</v>
      </c>
      <c r="M28" s="5" t="n">
        <v>0</v>
      </c>
      <c r="N28" s="5" t="n">
        <v>1</v>
      </c>
      <c r="O28" s="5" t="n">
        <v>1</v>
      </c>
      <c r="P28" s="5" t="n">
        <v>0</v>
      </c>
    </row>
    <row r="29" customFormat="false" ht="15" hidden="false" customHeight="false" outlineLevel="0" collapsed="false">
      <c r="A29" s="2" t="s">
        <v>56</v>
      </c>
      <c r="B29" s="2" t="s">
        <v>57</v>
      </c>
      <c r="C29" s="2" t="s">
        <v>40</v>
      </c>
      <c r="D29" s="2" t="s">
        <v>41</v>
      </c>
      <c r="E29" s="3" t="n">
        <v>2886261.3</v>
      </c>
      <c r="F29" s="3" t="n">
        <v>3331626.2</v>
      </c>
      <c r="G29" s="3" t="n">
        <v>558580.2</v>
      </c>
      <c r="H29" s="3" t="n">
        <v>3378.9</v>
      </c>
      <c r="I29" s="4" t="n">
        <v>14.8755</v>
      </c>
      <c r="J29" s="4" t="n">
        <v>8.1253</v>
      </c>
      <c r="K29" s="4" t="n">
        <v>15.019</v>
      </c>
      <c r="L29" s="4" t="n">
        <v>13.2332</v>
      </c>
      <c r="M29" s="5" t="n">
        <v>0</v>
      </c>
      <c r="N29" s="5" t="n">
        <v>0</v>
      </c>
      <c r="O29" s="5" t="n">
        <v>0</v>
      </c>
      <c r="P29" s="5" t="n">
        <v>0</v>
      </c>
    </row>
    <row r="30" customFormat="false" ht="15" hidden="false" customHeight="false" outlineLevel="0" collapsed="false">
      <c r="A30" s="2" t="s">
        <v>50</v>
      </c>
      <c r="B30" s="2" t="s">
        <v>51</v>
      </c>
      <c r="C30" s="2" t="s">
        <v>74</v>
      </c>
      <c r="D30" s="2" t="s">
        <v>75</v>
      </c>
      <c r="E30" s="3" t="n">
        <v>631940.3</v>
      </c>
      <c r="F30" s="3" t="n">
        <v>2189993.8</v>
      </c>
      <c r="G30" s="3" t="n">
        <v>1045692.6</v>
      </c>
      <c r="H30" s="3" t="n">
        <v>3677</v>
      </c>
      <c r="I30" s="4" t="n">
        <v>13.3566</v>
      </c>
      <c r="J30" s="4" t="n">
        <v>8.2099</v>
      </c>
      <c r="K30" s="4" t="n">
        <v>14.5994</v>
      </c>
      <c r="L30" s="4" t="n">
        <v>13.8602</v>
      </c>
      <c r="M30" s="5" t="n">
        <v>0</v>
      </c>
      <c r="N30" s="5" t="n">
        <v>0</v>
      </c>
      <c r="O30" s="5" t="n">
        <v>0</v>
      </c>
      <c r="P30" s="5" t="n">
        <v>0</v>
      </c>
    </row>
    <row r="31" customFormat="false" ht="15" hidden="false" customHeight="false" outlineLevel="0" collapsed="false">
      <c r="A31" s="2" t="s">
        <v>22</v>
      </c>
      <c r="B31" s="2" t="s">
        <v>23</v>
      </c>
      <c r="C31" s="2" t="s">
        <v>76</v>
      </c>
      <c r="D31" s="2" t="s">
        <v>77</v>
      </c>
      <c r="E31" s="3" t="n">
        <v>19565482.5</v>
      </c>
      <c r="F31" s="3" t="n">
        <v>569957.4</v>
      </c>
      <c r="G31" s="3" t="n">
        <v>1873959.5</v>
      </c>
      <c r="H31" s="3" t="n">
        <v>3176.9</v>
      </c>
      <c r="I31" s="4" t="n">
        <v>16.7893</v>
      </c>
      <c r="J31" s="4" t="n">
        <v>8.0637</v>
      </c>
      <c r="K31" s="4" t="n">
        <v>13.2533</v>
      </c>
      <c r="L31" s="4" t="n">
        <v>14.4436</v>
      </c>
      <c r="M31" s="5" t="n">
        <v>0</v>
      </c>
      <c r="N31" s="5" t="n">
        <v>1</v>
      </c>
      <c r="O31" s="5" t="n">
        <v>1</v>
      </c>
      <c r="P31" s="5" t="n">
        <v>0</v>
      </c>
    </row>
    <row r="32" customFormat="false" ht="15" hidden="false" customHeight="false" outlineLevel="0" collapsed="false">
      <c r="A32" s="2" t="s">
        <v>20</v>
      </c>
      <c r="B32" s="2" t="s">
        <v>21</v>
      </c>
      <c r="C32" s="2" t="s">
        <v>58</v>
      </c>
      <c r="D32" s="2" t="s">
        <v>59</v>
      </c>
      <c r="E32" s="3" t="n">
        <v>412250</v>
      </c>
      <c r="F32" s="3" t="n">
        <v>554078.6</v>
      </c>
      <c r="G32" s="3" t="n">
        <v>639613.9</v>
      </c>
      <c r="H32" s="3" t="n">
        <v>3571.9</v>
      </c>
      <c r="I32" s="4" t="n">
        <v>12.9294</v>
      </c>
      <c r="J32" s="4" t="n">
        <v>8.1808</v>
      </c>
      <c r="K32" s="4" t="n">
        <v>13.2251</v>
      </c>
      <c r="L32" s="4" t="n">
        <v>13.3686</v>
      </c>
      <c r="M32" s="5" t="n">
        <v>0</v>
      </c>
      <c r="N32" s="5" t="n">
        <v>1</v>
      </c>
      <c r="O32" s="5" t="n">
        <v>0</v>
      </c>
      <c r="P32" s="5" t="n">
        <v>0</v>
      </c>
    </row>
    <row r="33" customFormat="false" ht="15" hidden="false" customHeight="false" outlineLevel="0" collapsed="false">
      <c r="A33" s="2" t="s">
        <v>42</v>
      </c>
      <c r="B33" s="2" t="s">
        <v>43</v>
      </c>
      <c r="C33" s="2" t="s">
        <v>24</v>
      </c>
      <c r="D33" s="2" t="s">
        <v>25</v>
      </c>
      <c r="E33" s="3" t="n">
        <v>7800892.5</v>
      </c>
      <c r="F33" s="3" t="n">
        <v>1667510.2</v>
      </c>
      <c r="G33" s="3" t="n">
        <v>476003.9</v>
      </c>
      <c r="H33" s="3" t="n">
        <v>1374.9</v>
      </c>
      <c r="I33" s="4" t="n">
        <v>15.8697</v>
      </c>
      <c r="J33" s="4" t="n">
        <v>7.2262</v>
      </c>
      <c r="K33" s="4" t="n">
        <v>14.3268</v>
      </c>
      <c r="L33" s="4" t="n">
        <v>13.0732</v>
      </c>
      <c r="M33" s="5" t="n">
        <v>0</v>
      </c>
      <c r="N33" s="5" t="n">
        <v>0</v>
      </c>
      <c r="O33" s="5" t="n">
        <v>1</v>
      </c>
      <c r="P33" s="5" t="n">
        <v>0</v>
      </c>
    </row>
    <row r="34" customFormat="false" ht="15" hidden="false" customHeight="false" outlineLevel="0" collapsed="false">
      <c r="A34" s="2" t="s">
        <v>40</v>
      </c>
      <c r="B34" s="2" t="s">
        <v>41</v>
      </c>
      <c r="C34" s="2" t="s">
        <v>26</v>
      </c>
      <c r="D34" s="2" t="s">
        <v>27</v>
      </c>
      <c r="E34" s="3" t="n">
        <v>16172329.5</v>
      </c>
      <c r="F34" s="3" t="n">
        <v>558580.2</v>
      </c>
      <c r="G34" s="3" t="n">
        <v>2689070</v>
      </c>
      <c r="H34" s="3" t="n">
        <v>707.5</v>
      </c>
      <c r="I34" s="4" t="n">
        <v>16.5988</v>
      </c>
      <c r="J34" s="4" t="n">
        <v>6.5617</v>
      </c>
      <c r="K34" s="4" t="n">
        <v>13.2332</v>
      </c>
      <c r="L34" s="4" t="n">
        <v>14.8047</v>
      </c>
      <c r="M34" s="5" t="n">
        <v>1</v>
      </c>
      <c r="N34" s="5" t="n">
        <v>1</v>
      </c>
      <c r="O34" s="5" t="n">
        <v>1</v>
      </c>
      <c r="P34" s="5" t="n">
        <v>0</v>
      </c>
    </row>
    <row r="35" customFormat="false" ht="15" hidden="false" customHeight="false" outlineLevel="0" collapsed="false">
      <c r="A35" s="2" t="s">
        <v>50</v>
      </c>
      <c r="B35" s="2" t="s">
        <v>51</v>
      </c>
      <c r="C35" s="2" t="s">
        <v>56</v>
      </c>
      <c r="D35" s="2" t="s">
        <v>57</v>
      </c>
      <c r="E35" s="3" t="n">
        <v>4499079.5</v>
      </c>
      <c r="F35" s="3" t="n">
        <v>2189993.8</v>
      </c>
      <c r="G35" s="3" t="n">
        <v>3331626.2</v>
      </c>
      <c r="H35" s="3" t="n">
        <v>2670.5</v>
      </c>
      <c r="I35" s="4" t="n">
        <v>15.3194</v>
      </c>
      <c r="J35" s="4" t="n">
        <v>7.89</v>
      </c>
      <c r="K35" s="4" t="n">
        <v>14.5994</v>
      </c>
      <c r="L35" s="4" t="n">
        <v>15.019</v>
      </c>
      <c r="M35" s="5" t="n">
        <v>0</v>
      </c>
      <c r="N35" s="5" t="n">
        <v>0</v>
      </c>
      <c r="O35" s="5" t="n">
        <v>0</v>
      </c>
      <c r="P35" s="5" t="n">
        <v>0</v>
      </c>
    </row>
    <row r="36" customFormat="false" ht="15" hidden="false" customHeight="false" outlineLevel="0" collapsed="false">
      <c r="A36" s="2" t="s">
        <v>16</v>
      </c>
      <c r="B36" s="2" t="s">
        <v>17</v>
      </c>
      <c r="C36" s="2" t="s">
        <v>62</v>
      </c>
      <c r="D36" s="2" t="s">
        <v>63</v>
      </c>
      <c r="E36" s="3" t="n">
        <v>13183878</v>
      </c>
      <c r="F36" s="3" t="n">
        <v>2270468</v>
      </c>
      <c r="G36" s="3" t="n">
        <v>848082.2</v>
      </c>
      <c r="H36" s="3" t="n">
        <v>1185.9</v>
      </c>
      <c r="I36" s="4" t="n">
        <v>16.3945</v>
      </c>
      <c r="J36" s="4" t="n">
        <v>7.0782</v>
      </c>
      <c r="K36" s="4" t="n">
        <v>14.6355</v>
      </c>
      <c r="L36" s="4" t="n">
        <v>13.6507</v>
      </c>
      <c r="M36" s="5" t="n">
        <v>0</v>
      </c>
      <c r="N36" s="5" t="n">
        <v>0</v>
      </c>
      <c r="O36" s="5" t="n">
        <v>1</v>
      </c>
      <c r="P36" s="5" t="n">
        <v>0</v>
      </c>
    </row>
    <row r="37" customFormat="false" ht="15" hidden="false" customHeight="false" outlineLevel="0" collapsed="false">
      <c r="A37" s="2" t="s">
        <v>42</v>
      </c>
      <c r="B37" s="2" t="s">
        <v>43</v>
      </c>
      <c r="C37" s="2" t="s">
        <v>18</v>
      </c>
      <c r="D37" s="2" t="s">
        <v>19</v>
      </c>
      <c r="E37" s="3" t="n">
        <v>18926751.2</v>
      </c>
      <c r="F37" s="3" t="n">
        <v>1667510.2</v>
      </c>
      <c r="G37" s="3" t="n">
        <v>2625843.8</v>
      </c>
      <c r="H37" s="3" t="n">
        <v>1459.5</v>
      </c>
      <c r="I37" s="4" t="n">
        <v>16.7561</v>
      </c>
      <c r="J37" s="4" t="n">
        <v>7.2858</v>
      </c>
      <c r="K37" s="4" t="n">
        <v>14.3268</v>
      </c>
      <c r="L37" s="4" t="n">
        <v>14.7809</v>
      </c>
      <c r="M37" s="5" t="n">
        <v>0</v>
      </c>
      <c r="N37" s="5" t="n">
        <v>0</v>
      </c>
      <c r="O37" s="5" t="n">
        <v>1</v>
      </c>
      <c r="P37" s="5" t="n">
        <v>0</v>
      </c>
    </row>
    <row r="38" customFormat="false" ht="15" hidden="false" customHeight="false" outlineLevel="0" collapsed="false">
      <c r="A38" s="2" t="s">
        <v>54</v>
      </c>
      <c r="B38" s="2" t="s">
        <v>55</v>
      </c>
      <c r="C38" s="2" t="s">
        <v>48</v>
      </c>
      <c r="D38" s="2" t="s">
        <v>49</v>
      </c>
      <c r="E38" s="3" t="n">
        <v>3750934.6</v>
      </c>
      <c r="F38" s="3" t="n">
        <v>4042900.2</v>
      </c>
      <c r="G38" s="3" t="n">
        <v>1103773.9</v>
      </c>
      <c r="H38" s="3" t="n">
        <v>2958</v>
      </c>
      <c r="I38" s="4" t="n">
        <v>15.1375</v>
      </c>
      <c r="J38" s="4" t="n">
        <v>7.9923</v>
      </c>
      <c r="K38" s="4" t="n">
        <v>15.2125</v>
      </c>
      <c r="L38" s="4" t="n">
        <v>13.9142</v>
      </c>
      <c r="M38" s="5" t="n">
        <v>0</v>
      </c>
      <c r="N38" s="5" t="n">
        <v>0</v>
      </c>
      <c r="O38" s="5" t="n">
        <v>1</v>
      </c>
      <c r="P38" s="5" t="n">
        <v>0</v>
      </c>
    </row>
    <row r="39" customFormat="false" ht="15" hidden="false" customHeight="false" outlineLevel="0" collapsed="false">
      <c r="A39" s="2" t="s">
        <v>24</v>
      </c>
      <c r="B39" s="2" t="s">
        <v>25</v>
      </c>
      <c r="C39" s="2" t="s">
        <v>56</v>
      </c>
      <c r="D39" s="2" t="s">
        <v>57</v>
      </c>
      <c r="E39" s="3" t="n">
        <v>3019410.2</v>
      </c>
      <c r="F39" s="3" t="n">
        <v>476003.9</v>
      </c>
      <c r="G39" s="3" t="n">
        <v>3331626.2</v>
      </c>
      <c r="H39" s="3" t="n">
        <v>3337.4</v>
      </c>
      <c r="I39" s="4" t="n">
        <v>14.9206</v>
      </c>
      <c r="J39" s="4" t="n">
        <v>8.113</v>
      </c>
      <c r="K39" s="4" t="n">
        <v>13.0732</v>
      </c>
      <c r="L39" s="4" t="n">
        <v>15.019</v>
      </c>
      <c r="M39" s="5" t="n">
        <v>0</v>
      </c>
      <c r="N39" s="5" t="n">
        <v>0</v>
      </c>
      <c r="O39" s="5" t="n">
        <v>0</v>
      </c>
      <c r="P39" s="5" t="n">
        <v>0</v>
      </c>
    </row>
    <row r="40" customFormat="false" ht="15" hidden="false" customHeight="false" outlineLevel="0" collapsed="false">
      <c r="A40" s="2" t="s">
        <v>50</v>
      </c>
      <c r="B40" s="2" t="s">
        <v>51</v>
      </c>
      <c r="C40" s="2" t="s">
        <v>36</v>
      </c>
      <c r="D40" s="2" t="s">
        <v>37</v>
      </c>
      <c r="E40" s="3" t="n">
        <v>9139301</v>
      </c>
      <c r="F40" s="3" t="n">
        <v>2189993.8</v>
      </c>
      <c r="G40" s="3" t="n">
        <v>611053.3</v>
      </c>
      <c r="H40" s="3" t="n">
        <v>1293.6</v>
      </c>
      <c r="I40" s="4" t="n">
        <v>16.0281</v>
      </c>
      <c r="J40" s="4" t="n">
        <v>7.1652</v>
      </c>
      <c r="K40" s="4" t="n">
        <v>14.5994</v>
      </c>
      <c r="L40" s="4" t="n">
        <v>13.3229</v>
      </c>
      <c r="M40" s="5" t="n">
        <v>1</v>
      </c>
      <c r="N40" s="5" t="n">
        <v>1</v>
      </c>
      <c r="O40" s="5" t="n">
        <v>0</v>
      </c>
      <c r="P40" s="5" t="n">
        <v>1</v>
      </c>
    </row>
    <row r="41" customFormat="false" ht="15" hidden="false" customHeight="false" outlineLevel="0" collapsed="false">
      <c r="A41" s="2" t="s">
        <v>34</v>
      </c>
      <c r="B41" s="2" t="s">
        <v>35</v>
      </c>
      <c r="C41" s="2" t="s">
        <v>76</v>
      </c>
      <c r="D41" s="2" t="s">
        <v>77</v>
      </c>
      <c r="E41" s="3" t="n">
        <v>4811932</v>
      </c>
      <c r="F41" s="3" t="n">
        <v>1102635</v>
      </c>
      <c r="G41" s="3" t="n">
        <v>1873959.5</v>
      </c>
      <c r="H41" s="3" t="n">
        <v>3686.2</v>
      </c>
      <c r="I41" s="4" t="n">
        <v>15.3866</v>
      </c>
      <c r="J41" s="4" t="n">
        <v>8.2124</v>
      </c>
      <c r="K41" s="4" t="n">
        <v>13.9132</v>
      </c>
      <c r="L41" s="4" t="n">
        <v>14.4436</v>
      </c>
      <c r="M41" s="5" t="n">
        <v>0</v>
      </c>
      <c r="N41" s="5" t="n">
        <v>1</v>
      </c>
      <c r="O41" s="5" t="n">
        <v>1</v>
      </c>
      <c r="P41" s="5" t="n">
        <v>0</v>
      </c>
    </row>
    <row r="42" customFormat="false" ht="15" hidden="false" customHeight="false" outlineLevel="0" collapsed="false">
      <c r="A42" s="2" t="s">
        <v>74</v>
      </c>
      <c r="B42" s="2" t="s">
        <v>75</v>
      </c>
      <c r="C42" s="2" t="s">
        <v>68</v>
      </c>
      <c r="D42" s="2" t="s">
        <v>69</v>
      </c>
      <c r="E42" s="3" t="n">
        <v>3.2</v>
      </c>
      <c r="F42" s="3" t="n">
        <v>1045692.6</v>
      </c>
      <c r="G42" s="3" t="n">
        <v>1306574.1</v>
      </c>
      <c r="H42" s="3" t="n">
        <v>1932.3</v>
      </c>
      <c r="I42" s="4" t="n">
        <v>1.1628</v>
      </c>
      <c r="J42" s="4" t="n">
        <v>7.5665</v>
      </c>
      <c r="K42" s="4" t="n">
        <v>13.8602</v>
      </c>
      <c r="L42" s="4" t="n">
        <v>14.0829</v>
      </c>
      <c r="M42" s="5" t="n">
        <v>1</v>
      </c>
      <c r="N42" s="5" t="n">
        <v>1</v>
      </c>
      <c r="O42" s="5" t="n">
        <v>0</v>
      </c>
      <c r="P42" s="5" t="n">
        <v>0</v>
      </c>
    </row>
    <row r="43" customFormat="false" ht="15" hidden="false" customHeight="false" outlineLevel="0" collapsed="false">
      <c r="A43" s="2" t="s">
        <v>50</v>
      </c>
      <c r="B43" s="2" t="s">
        <v>51</v>
      </c>
      <c r="C43" s="2" t="s">
        <v>68</v>
      </c>
      <c r="D43" s="2" t="s">
        <v>69</v>
      </c>
      <c r="E43" s="3" t="n">
        <v>2140528.1</v>
      </c>
      <c r="F43" s="3" t="n">
        <v>2189993.8</v>
      </c>
      <c r="G43" s="3" t="n">
        <v>1306574.1</v>
      </c>
      <c r="H43" s="3" t="n">
        <v>1838.9</v>
      </c>
      <c r="I43" s="4" t="n">
        <v>14.5766</v>
      </c>
      <c r="J43" s="4" t="n">
        <v>7.5169</v>
      </c>
      <c r="K43" s="4" t="n">
        <v>14.5994</v>
      </c>
      <c r="L43" s="4" t="n">
        <v>14.0829</v>
      </c>
      <c r="M43" s="5" t="n">
        <v>1</v>
      </c>
      <c r="N43" s="5" t="n">
        <v>1</v>
      </c>
      <c r="O43" s="5" t="n">
        <v>0</v>
      </c>
      <c r="P43" s="5" t="n">
        <v>0</v>
      </c>
    </row>
    <row r="44" customFormat="false" ht="15" hidden="false" customHeight="false" outlineLevel="0" collapsed="false">
      <c r="A44" s="2" t="s">
        <v>20</v>
      </c>
      <c r="B44" s="2" t="s">
        <v>21</v>
      </c>
      <c r="C44" s="2" t="s">
        <v>74</v>
      </c>
      <c r="D44" s="2" t="s">
        <v>75</v>
      </c>
      <c r="E44" s="3" t="n">
        <v>57854.3</v>
      </c>
      <c r="F44" s="3" t="n">
        <v>554078.6</v>
      </c>
      <c r="G44" s="3" t="n">
        <v>1045692.6</v>
      </c>
      <c r="H44" s="3" t="n">
        <v>2130.4</v>
      </c>
      <c r="I44" s="4" t="n">
        <v>10.9657</v>
      </c>
      <c r="J44" s="4" t="n">
        <v>7.6641</v>
      </c>
      <c r="K44" s="4" t="n">
        <v>13.2251</v>
      </c>
      <c r="L44" s="4" t="n">
        <v>13.8602</v>
      </c>
      <c r="M44" s="5" t="n">
        <v>0</v>
      </c>
      <c r="N44" s="5" t="n">
        <v>1</v>
      </c>
      <c r="O44" s="5" t="n">
        <v>1</v>
      </c>
      <c r="P44" s="5" t="n">
        <v>1</v>
      </c>
    </row>
    <row r="45" customFormat="false" ht="15" hidden="false" customHeight="false" outlineLevel="0" collapsed="false">
      <c r="A45" s="2" t="s">
        <v>56</v>
      </c>
      <c r="B45" s="2" t="s">
        <v>57</v>
      </c>
      <c r="C45" s="2" t="s">
        <v>62</v>
      </c>
      <c r="D45" s="2" t="s">
        <v>63</v>
      </c>
      <c r="E45" s="3" t="n">
        <v>22539898</v>
      </c>
      <c r="F45" s="3" t="n">
        <v>3331626.2</v>
      </c>
      <c r="G45" s="3" t="n">
        <v>848082.2</v>
      </c>
      <c r="H45" s="3" t="n">
        <v>3244.1</v>
      </c>
      <c r="I45" s="4" t="n">
        <v>16.9308</v>
      </c>
      <c r="J45" s="4" t="n">
        <v>8.0846</v>
      </c>
      <c r="K45" s="4" t="n">
        <v>15.019</v>
      </c>
      <c r="L45" s="4" t="n">
        <v>13.6507</v>
      </c>
      <c r="M45" s="5" t="n">
        <v>0</v>
      </c>
      <c r="N45" s="5" t="n">
        <v>0</v>
      </c>
      <c r="O45" s="5" t="n">
        <v>0</v>
      </c>
      <c r="P45" s="5" t="n">
        <v>0</v>
      </c>
    </row>
    <row r="46" customFormat="false" ht="15" hidden="false" customHeight="false" outlineLevel="0" collapsed="false">
      <c r="A46" s="2" t="s">
        <v>42</v>
      </c>
      <c r="B46" s="2" t="s">
        <v>43</v>
      </c>
      <c r="C46" s="2" t="s">
        <v>40</v>
      </c>
      <c r="D46" s="2" t="s">
        <v>41</v>
      </c>
      <c r="E46" s="3" t="n">
        <v>6705502.6</v>
      </c>
      <c r="F46" s="3" t="n">
        <v>1667510.2</v>
      </c>
      <c r="G46" s="3" t="n">
        <v>558580.2</v>
      </c>
      <c r="H46" s="3" t="n">
        <v>1181.5</v>
      </c>
      <c r="I46" s="4" t="n">
        <v>15.7184</v>
      </c>
      <c r="J46" s="4" t="n">
        <v>7.0746</v>
      </c>
      <c r="K46" s="4" t="n">
        <v>14.3268</v>
      </c>
      <c r="L46" s="4" t="n">
        <v>13.2332</v>
      </c>
      <c r="M46" s="5" t="n">
        <v>0</v>
      </c>
      <c r="N46" s="5" t="n">
        <v>1</v>
      </c>
      <c r="O46" s="5" t="n">
        <v>1</v>
      </c>
      <c r="P46" s="5" t="n">
        <v>0</v>
      </c>
    </row>
    <row r="47" customFormat="false" ht="15" hidden="false" customHeight="false" outlineLevel="0" collapsed="false">
      <c r="A47" s="2" t="s">
        <v>62</v>
      </c>
      <c r="B47" s="2" t="s">
        <v>63</v>
      </c>
      <c r="C47" s="2" t="s">
        <v>30</v>
      </c>
      <c r="D47" s="2" t="s">
        <v>31</v>
      </c>
      <c r="E47" s="3" t="n">
        <v>14555370</v>
      </c>
      <c r="F47" s="3" t="n">
        <v>848082.2</v>
      </c>
      <c r="G47" s="3" t="n">
        <v>1041614.3</v>
      </c>
      <c r="H47" s="3" t="n">
        <v>992.1</v>
      </c>
      <c r="I47" s="4" t="n">
        <v>16.4935</v>
      </c>
      <c r="J47" s="4" t="n">
        <v>6.8998</v>
      </c>
      <c r="K47" s="4" t="n">
        <v>13.6507</v>
      </c>
      <c r="L47" s="4" t="n">
        <v>13.8563</v>
      </c>
      <c r="M47" s="5" t="n">
        <v>0</v>
      </c>
      <c r="N47" s="5" t="n">
        <v>0</v>
      </c>
      <c r="O47" s="5" t="n">
        <v>1</v>
      </c>
      <c r="P47" s="5" t="n">
        <v>0</v>
      </c>
    </row>
    <row r="48" customFormat="false" ht="15" hidden="false" customHeight="false" outlineLevel="0" collapsed="false">
      <c r="A48" s="2" t="s">
        <v>48</v>
      </c>
      <c r="B48" s="2" t="s">
        <v>49</v>
      </c>
      <c r="C48" s="2" t="s">
        <v>24</v>
      </c>
      <c r="D48" s="2" t="s">
        <v>25</v>
      </c>
      <c r="E48" s="3" t="n">
        <v>231609.7</v>
      </c>
      <c r="F48" s="3" t="n">
        <v>1103773.9</v>
      </c>
      <c r="G48" s="3" t="n">
        <v>476003.9</v>
      </c>
      <c r="H48" s="3" t="n">
        <v>3217.9</v>
      </c>
      <c r="I48" s="4" t="n">
        <v>12.3528</v>
      </c>
      <c r="J48" s="4" t="n">
        <v>8.0765</v>
      </c>
      <c r="K48" s="4" t="n">
        <v>13.9142</v>
      </c>
      <c r="L48" s="4" t="n">
        <v>13.0732</v>
      </c>
      <c r="M48" s="5" t="n">
        <v>0</v>
      </c>
      <c r="N48" s="5" t="n">
        <v>1</v>
      </c>
      <c r="O48" s="5" t="n">
        <v>1</v>
      </c>
      <c r="P48" s="5" t="n">
        <v>0</v>
      </c>
    </row>
    <row r="49" customFormat="false" ht="15" hidden="false" customHeight="false" outlineLevel="0" collapsed="false">
      <c r="A49" s="2" t="s">
        <v>32</v>
      </c>
      <c r="B49" s="2" t="s">
        <v>33</v>
      </c>
      <c r="C49" s="2" t="s">
        <v>72</v>
      </c>
      <c r="D49" s="2" t="s">
        <v>73</v>
      </c>
      <c r="E49" s="3" t="n">
        <v>36439620.9</v>
      </c>
      <c r="F49" s="3" t="n">
        <v>17797724</v>
      </c>
      <c r="G49" s="3" t="n">
        <v>800424.5</v>
      </c>
      <c r="H49" s="3" t="n">
        <v>2547.1</v>
      </c>
      <c r="I49" s="4" t="n">
        <v>17.4112</v>
      </c>
      <c r="J49" s="4" t="n">
        <v>7.8427</v>
      </c>
      <c r="K49" s="4" t="n">
        <v>16.6946</v>
      </c>
      <c r="L49" s="4" t="n">
        <v>13.5929</v>
      </c>
      <c r="M49" s="5" t="n">
        <v>0</v>
      </c>
      <c r="N49" s="5" t="n">
        <v>0</v>
      </c>
      <c r="O49" s="5" t="n">
        <v>1</v>
      </c>
      <c r="P49" s="5" t="n">
        <v>0</v>
      </c>
    </row>
    <row r="50" customFormat="false" ht="15" hidden="false" customHeight="false" outlineLevel="0" collapsed="false">
      <c r="A50" s="2" t="s">
        <v>58</v>
      </c>
      <c r="B50" s="2" t="s">
        <v>59</v>
      </c>
      <c r="C50" s="2" t="s">
        <v>74</v>
      </c>
      <c r="D50" s="2" t="s">
        <v>75</v>
      </c>
      <c r="E50" s="3" t="n">
        <v>5559114.6</v>
      </c>
      <c r="F50" s="3" t="n">
        <v>639613.9</v>
      </c>
      <c r="G50" s="3" t="n">
        <v>1045692.6</v>
      </c>
      <c r="H50" s="3" t="n">
        <v>1642.2</v>
      </c>
      <c r="I50" s="4" t="n">
        <v>15.5309</v>
      </c>
      <c r="J50" s="4" t="n">
        <v>7.4038</v>
      </c>
      <c r="K50" s="4" t="n">
        <v>13.3686</v>
      </c>
      <c r="L50" s="4" t="n">
        <v>13.8602</v>
      </c>
      <c r="M50" s="5" t="n">
        <v>0</v>
      </c>
      <c r="N50" s="5" t="n">
        <v>1</v>
      </c>
      <c r="O50" s="5" t="n">
        <v>0</v>
      </c>
      <c r="P50" s="5" t="n">
        <v>0</v>
      </c>
    </row>
    <row r="51" customFormat="false" ht="15" hidden="false" customHeight="false" outlineLevel="0" collapsed="false">
      <c r="A51" s="2" t="s">
        <v>40</v>
      </c>
      <c r="B51" s="2" t="s">
        <v>41</v>
      </c>
      <c r="C51" s="2" t="s">
        <v>16</v>
      </c>
      <c r="D51" s="2" t="s">
        <v>17</v>
      </c>
      <c r="E51" s="3" t="n">
        <v>13767802</v>
      </c>
      <c r="F51" s="3" t="n">
        <v>558580.2</v>
      </c>
      <c r="G51" s="3" t="n">
        <v>2270468</v>
      </c>
      <c r="H51" s="3" t="n">
        <v>616.9</v>
      </c>
      <c r="I51" s="4" t="n">
        <v>16.4378</v>
      </c>
      <c r="J51" s="4" t="n">
        <v>6.4248</v>
      </c>
      <c r="K51" s="4" t="n">
        <v>13.2332</v>
      </c>
      <c r="L51" s="4" t="n">
        <v>14.6355</v>
      </c>
      <c r="M51" s="5" t="n">
        <v>1</v>
      </c>
      <c r="N51" s="5" t="n">
        <v>1</v>
      </c>
      <c r="O51" s="5" t="n">
        <v>1</v>
      </c>
      <c r="P51" s="5" t="n">
        <v>0</v>
      </c>
    </row>
    <row r="52" customFormat="false" ht="15" hidden="false" customHeight="false" outlineLevel="0" collapsed="false">
      <c r="A52" s="2" t="s">
        <v>78</v>
      </c>
      <c r="B52" s="2" t="s">
        <v>79</v>
      </c>
      <c r="C52" s="2" t="s">
        <v>20</v>
      </c>
      <c r="D52" s="2" t="s">
        <v>21</v>
      </c>
      <c r="E52" s="3" t="n">
        <v>1456666.1</v>
      </c>
      <c r="F52" s="3" t="n">
        <v>5162353.5</v>
      </c>
      <c r="G52" s="3" t="n">
        <v>554078.6</v>
      </c>
      <c r="H52" s="3" t="n">
        <v>4700.5</v>
      </c>
      <c r="I52" s="4" t="n">
        <v>14.1917</v>
      </c>
      <c r="J52" s="4" t="n">
        <v>8.4554</v>
      </c>
      <c r="K52" s="4" t="n">
        <v>15.4569</v>
      </c>
      <c r="L52" s="4" t="n">
        <v>13.2251</v>
      </c>
      <c r="M52" s="5" t="n">
        <v>0</v>
      </c>
      <c r="N52" s="5" t="n">
        <v>0</v>
      </c>
      <c r="O52" s="5" t="n">
        <v>0</v>
      </c>
      <c r="P52" s="5" t="n">
        <v>0</v>
      </c>
    </row>
    <row r="53" customFormat="false" ht="15" hidden="false" customHeight="false" outlineLevel="0" collapsed="false">
      <c r="A53" s="2" t="s">
        <v>24</v>
      </c>
      <c r="B53" s="2" t="s">
        <v>25</v>
      </c>
      <c r="C53" s="2" t="s">
        <v>74</v>
      </c>
      <c r="D53" s="2" t="s">
        <v>75</v>
      </c>
      <c r="E53" s="3" t="n">
        <v>386259.2</v>
      </c>
      <c r="F53" s="3" t="n">
        <v>476003.9</v>
      </c>
      <c r="G53" s="3" t="n">
        <v>1045692.6</v>
      </c>
      <c r="H53" s="3" t="n">
        <v>5889.2</v>
      </c>
      <c r="I53" s="4" t="n">
        <v>12.8643</v>
      </c>
      <c r="J53" s="4" t="n">
        <v>8.6809</v>
      </c>
      <c r="K53" s="4" t="n">
        <v>13.0732</v>
      </c>
      <c r="L53" s="4" t="n">
        <v>13.8602</v>
      </c>
      <c r="M53" s="5" t="n">
        <v>0</v>
      </c>
      <c r="N53" s="5" t="n">
        <v>0</v>
      </c>
      <c r="O53" s="5" t="n">
        <v>0</v>
      </c>
      <c r="P53" s="5" t="n">
        <v>0</v>
      </c>
    </row>
    <row r="54" customFormat="false" ht="15" hidden="false" customHeight="false" outlineLevel="0" collapsed="false">
      <c r="A54" s="2" t="s">
        <v>58</v>
      </c>
      <c r="B54" s="2" t="s">
        <v>59</v>
      </c>
      <c r="C54" s="2" t="s">
        <v>30</v>
      </c>
      <c r="D54" s="2" t="s">
        <v>31</v>
      </c>
      <c r="E54" s="3" t="n">
        <v>167959.4</v>
      </c>
      <c r="F54" s="3" t="n">
        <v>639613.9</v>
      </c>
      <c r="G54" s="3" t="n">
        <v>1041614.3</v>
      </c>
      <c r="H54" s="3" t="n">
        <v>4249.9</v>
      </c>
      <c r="I54" s="4" t="n">
        <v>12.0315</v>
      </c>
      <c r="J54" s="4" t="n">
        <v>8.3547</v>
      </c>
      <c r="K54" s="4" t="n">
        <v>13.3686</v>
      </c>
      <c r="L54" s="4" t="n">
        <v>13.8563</v>
      </c>
      <c r="M54" s="5" t="n">
        <v>0</v>
      </c>
      <c r="N54" s="5" t="n">
        <v>0</v>
      </c>
      <c r="O54" s="5" t="n">
        <v>0</v>
      </c>
      <c r="P54" s="5" t="n">
        <v>0</v>
      </c>
    </row>
    <row r="55" customFormat="false" ht="15" hidden="false" customHeight="false" outlineLevel="0" collapsed="false">
      <c r="A55" s="2" t="s">
        <v>28</v>
      </c>
      <c r="B55" s="2" t="s">
        <v>29</v>
      </c>
      <c r="C55" s="2" t="s">
        <v>26</v>
      </c>
      <c r="D55" s="2" t="s">
        <v>27</v>
      </c>
      <c r="E55" s="3" t="n">
        <v>2906149.3</v>
      </c>
      <c r="F55" s="3" t="n">
        <v>1309675</v>
      </c>
      <c r="G55" s="3" t="n">
        <v>2689070</v>
      </c>
      <c r="H55" s="3" t="n">
        <v>4577.2</v>
      </c>
      <c r="I55" s="4" t="n">
        <v>14.8823</v>
      </c>
      <c r="J55" s="4" t="n">
        <v>8.4289</v>
      </c>
      <c r="K55" s="4" t="n">
        <v>14.0853</v>
      </c>
      <c r="L55" s="4" t="n">
        <v>14.8047</v>
      </c>
      <c r="M55" s="5" t="n">
        <v>0</v>
      </c>
      <c r="N55" s="5" t="n">
        <v>0</v>
      </c>
      <c r="O55" s="5" t="n">
        <v>0</v>
      </c>
      <c r="P55" s="5" t="n">
        <v>0</v>
      </c>
    </row>
    <row r="56" customFormat="false" ht="15" hidden="false" customHeight="false" outlineLevel="0" collapsed="false">
      <c r="A56" s="2" t="s">
        <v>80</v>
      </c>
      <c r="B56" s="2" t="s">
        <v>81</v>
      </c>
      <c r="C56" s="2" t="s">
        <v>26</v>
      </c>
      <c r="D56" s="2" t="s">
        <v>27</v>
      </c>
      <c r="E56" s="3" t="n">
        <v>2802369.8</v>
      </c>
      <c r="F56" s="3" t="n">
        <v>1620789.4</v>
      </c>
      <c r="G56" s="3" t="n">
        <v>2689070</v>
      </c>
      <c r="H56" s="3" t="n">
        <v>6472.2</v>
      </c>
      <c r="I56" s="4" t="n">
        <v>14.846</v>
      </c>
      <c r="J56" s="4" t="n">
        <v>8.7753</v>
      </c>
      <c r="K56" s="4" t="n">
        <v>14.2984</v>
      </c>
      <c r="L56" s="4" t="n">
        <v>14.8047</v>
      </c>
      <c r="M56" s="5" t="n">
        <v>0</v>
      </c>
      <c r="N56" s="5" t="n">
        <v>1</v>
      </c>
      <c r="O56" s="5" t="n">
        <v>1</v>
      </c>
      <c r="P56" s="5" t="n">
        <v>1</v>
      </c>
    </row>
    <row r="57" customFormat="false" ht="15" hidden="false" customHeight="false" outlineLevel="0" collapsed="false">
      <c r="A57" s="2" t="s">
        <v>36</v>
      </c>
      <c r="B57" s="2" t="s">
        <v>37</v>
      </c>
      <c r="C57" s="2" t="s">
        <v>82</v>
      </c>
      <c r="D57" s="2" t="s">
        <v>83</v>
      </c>
      <c r="E57" s="3" t="n">
        <v>1410.9</v>
      </c>
      <c r="F57" s="3" t="n">
        <v>611053.3</v>
      </c>
      <c r="G57" s="3" t="n">
        <v>822121.3</v>
      </c>
      <c r="H57" s="3" t="n">
        <v>4829.6</v>
      </c>
      <c r="I57" s="4" t="n">
        <v>7.252</v>
      </c>
      <c r="J57" s="4" t="n">
        <v>8.4825</v>
      </c>
      <c r="K57" s="4" t="n">
        <v>13.3229</v>
      </c>
      <c r="L57" s="4" t="n">
        <v>13.6196</v>
      </c>
      <c r="M57" s="5" t="n">
        <v>0</v>
      </c>
      <c r="N57" s="5" t="n">
        <v>0</v>
      </c>
      <c r="O57" s="5" t="n">
        <v>0</v>
      </c>
      <c r="P57" s="5" t="n">
        <v>0</v>
      </c>
    </row>
    <row r="58" customFormat="false" ht="15" hidden="false" customHeight="false" outlineLevel="0" collapsed="false">
      <c r="A58" s="2" t="s">
        <v>32</v>
      </c>
      <c r="B58" s="2" t="s">
        <v>33</v>
      </c>
      <c r="C58" s="2" t="s">
        <v>30</v>
      </c>
      <c r="D58" s="2" t="s">
        <v>31</v>
      </c>
      <c r="E58" s="3" t="n">
        <v>33208344.4</v>
      </c>
      <c r="F58" s="3" t="n">
        <v>17797724</v>
      </c>
      <c r="G58" s="3" t="n">
        <v>1041614.3</v>
      </c>
      <c r="H58" s="3" t="n">
        <v>7517</v>
      </c>
      <c r="I58" s="4" t="n">
        <v>17.3183</v>
      </c>
      <c r="J58" s="4" t="n">
        <v>8.9249</v>
      </c>
      <c r="K58" s="4" t="n">
        <v>16.6946</v>
      </c>
      <c r="L58" s="4" t="n">
        <v>13.8563</v>
      </c>
      <c r="M58" s="5" t="n">
        <v>0</v>
      </c>
      <c r="N58" s="5" t="n">
        <v>0</v>
      </c>
      <c r="O58" s="5" t="n">
        <v>0</v>
      </c>
      <c r="P58" s="5" t="n">
        <v>0</v>
      </c>
    </row>
    <row r="59" customFormat="false" ht="15" hidden="false" customHeight="false" outlineLevel="0" collapsed="false">
      <c r="A59" s="2" t="s">
        <v>26</v>
      </c>
      <c r="B59" s="2" t="s">
        <v>27</v>
      </c>
      <c r="C59" s="2" t="s">
        <v>82</v>
      </c>
      <c r="D59" s="2" t="s">
        <v>83</v>
      </c>
      <c r="E59" s="3" t="n">
        <v>836714</v>
      </c>
      <c r="F59" s="3" t="n">
        <v>2689070</v>
      </c>
      <c r="G59" s="3" t="n">
        <v>822121.3</v>
      </c>
      <c r="H59" s="3" t="n">
        <v>4415.3</v>
      </c>
      <c r="I59" s="4" t="n">
        <v>13.6372</v>
      </c>
      <c r="J59" s="4" t="n">
        <v>8.3928</v>
      </c>
      <c r="K59" s="4" t="n">
        <v>14.8047</v>
      </c>
      <c r="L59" s="4" t="n">
        <v>13.6196</v>
      </c>
      <c r="M59" s="5" t="n">
        <v>0</v>
      </c>
      <c r="N59" s="5" t="n">
        <v>0</v>
      </c>
      <c r="O59" s="5" t="n">
        <v>0</v>
      </c>
      <c r="P59" s="5" t="n">
        <v>0</v>
      </c>
    </row>
    <row r="60" customFormat="false" ht="15" hidden="false" customHeight="false" outlineLevel="0" collapsed="false">
      <c r="A60" s="2" t="s">
        <v>70</v>
      </c>
      <c r="B60" s="2" t="s">
        <v>71</v>
      </c>
      <c r="C60" s="2" t="s">
        <v>76</v>
      </c>
      <c r="D60" s="2" t="s">
        <v>77</v>
      </c>
      <c r="E60" s="3" t="n">
        <v>4636794.6</v>
      </c>
      <c r="F60" s="3" t="n">
        <v>8411253</v>
      </c>
      <c r="G60" s="3" t="n">
        <v>1873959.5</v>
      </c>
      <c r="H60" s="3" t="n">
        <v>5026.2</v>
      </c>
      <c r="I60" s="4" t="n">
        <v>15.3495</v>
      </c>
      <c r="J60" s="4" t="n">
        <v>8.5224</v>
      </c>
      <c r="K60" s="4" t="n">
        <v>15.9451</v>
      </c>
      <c r="L60" s="4" t="n">
        <v>14.4436</v>
      </c>
      <c r="M60" s="5" t="n">
        <v>0</v>
      </c>
      <c r="N60" s="5" t="n">
        <v>1</v>
      </c>
      <c r="O60" s="5" t="n">
        <v>1</v>
      </c>
      <c r="P60" s="5" t="n">
        <v>0</v>
      </c>
    </row>
    <row r="61" customFormat="false" ht="15" hidden="false" customHeight="false" outlineLevel="0" collapsed="false">
      <c r="A61" s="2" t="s">
        <v>18</v>
      </c>
      <c r="B61" s="2" t="s">
        <v>19</v>
      </c>
      <c r="C61" s="2" t="s">
        <v>70</v>
      </c>
      <c r="D61" s="2" t="s">
        <v>71</v>
      </c>
      <c r="E61" s="3" t="n">
        <v>4645578.5</v>
      </c>
      <c r="F61" s="3" t="n">
        <v>2625843.8</v>
      </c>
      <c r="G61" s="3" t="n">
        <v>8411253</v>
      </c>
      <c r="H61" s="3" t="n">
        <v>7442.2</v>
      </c>
      <c r="I61" s="4" t="n">
        <v>15.3514</v>
      </c>
      <c r="J61" s="4" t="n">
        <v>8.9149</v>
      </c>
      <c r="K61" s="4" t="n">
        <v>14.7809</v>
      </c>
      <c r="L61" s="4" t="n">
        <v>15.9451</v>
      </c>
      <c r="M61" s="5" t="n">
        <v>0</v>
      </c>
      <c r="N61" s="5" t="n">
        <v>1</v>
      </c>
      <c r="O61" s="5" t="n">
        <v>0</v>
      </c>
      <c r="P61" s="5" t="n">
        <v>1</v>
      </c>
    </row>
    <row r="62" customFormat="false" ht="15" hidden="false" customHeight="false" outlineLevel="0" collapsed="false">
      <c r="A62" s="2" t="s">
        <v>50</v>
      </c>
      <c r="B62" s="2" t="s">
        <v>51</v>
      </c>
      <c r="C62" s="2" t="s">
        <v>20</v>
      </c>
      <c r="D62" s="2" t="s">
        <v>21</v>
      </c>
      <c r="E62" s="3" t="n">
        <v>340862.5</v>
      </c>
      <c r="F62" s="3" t="n">
        <v>2189993.8</v>
      </c>
      <c r="G62" s="3" t="n">
        <v>554078.6</v>
      </c>
      <c r="H62" s="3" t="n">
        <v>5690.3</v>
      </c>
      <c r="I62" s="4" t="n">
        <v>12.7392</v>
      </c>
      <c r="J62" s="4" t="n">
        <v>8.6465</v>
      </c>
      <c r="K62" s="4" t="n">
        <v>14.5994</v>
      </c>
      <c r="L62" s="4" t="n">
        <v>13.2251</v>
      </c>
      <c r="M62" s="5" t="n">
        <v>0</v>
      </c>
      <c r="N62" s="5" t="n">
        <v>0</v>
      </c>
      <c r="O62" s="5" t="n">
        <v>0</v>
      </c>
      <c r="P62" s="5" t="n">
        <v>0</v>
      </c>
    </row>
    <row r="63" customFormat="false" ht="15" hidden="false" customHeight="false" outlineLevel="0" collapsed="false">
      <c r="A63" s="2" t="s">
        <v>20</v>
      </c>
      <c r="B63" s="2" t="s">
        <v>21</v>
      </c>
      <c r="C63" s="2" t="s">
        <v>78</v>
      </c>
      <c r="D63" s="2" t="s">
        <v>79</v>
      </c>
      <c r="E63" s="3" t="n">
        <v>1305547</v>
      </c>
      <c r="F63" s="3" t="n">
        <v>554078.6</v>
      </c>
      <c r="G63" s="3" t="n">
        <v>5162353.5</v>
      </c>
      <c r="H63" s="3" t="n">
        <v>4700.5</v>
      </c>
      <c r="I63" s="4" t="n">
        <v>14.0821</v>
      </c>
      <c r="J63" s="4" t="n">
        <v>8.4554</v>
      </c>
      <c r="K63" s="4" t="n">
        <v>13.2251</v>
      </c>
      <c r="L63" s="4" t="n">
        <v>15.4569</v>
      </c>
      <c r="M63" s="5" t="n">
        <v>0</v>
      </c>
      <c r="N63" s="5" t="n">
        <v>0</v>
      </c>
      <c r="O63" s="5" t="n">
        <v>0</v>
      </c>
      <c r="P63" s="5" t="n">
        <v>0</v>
      </c>
    </row>
    <row r="64" customFormat="false" ht="15" hidden="false" customHeight="false" outlineLevel="0" collapsed="false">
      <c r="A64" s="2" t="s">
        <v>28</v>
      </c>
      <c r="B64" s="2" t="s">
        <v>29</v>
      </c>
      <c r="C64" s="2" t="s">
        <v>40</v>
      </c>
      <c r="D64" s="2" t="s">
        <v>41</v>
      </c>
      <c r="E64" s="3" t="n">
        <v>688735.6</v>
      </c>
      <c r="F64" s="3" t="n">
        <v>1309675</v>
      </c>
      <c r="G64" s="3" t="n">
        <v>558580.2</v>
      </c>
      <c r="H64" s="3" t="n">
        <v>4109.4</v>
      </c>
      <c r="I64" s="4" t="n">
        <v>13.4426</v>
      </c>
      <c r="J64" s="4" t="n">
        <v>8.321</v>
      </c>
      <c r="K64" s="4" t="n">
        <v>14.0853</v>
      </c>
      <c r="L64" s="4" t="n">
        <v>13.2332</v>
      </c>
      <c r="M64" s="5" t="n">
        <v>0</v>
      </c>
      <c r="N64" s="5" t="n">
        <v>0</v>
      </c>
      <c r="O64" s="5" t="n">
        <v>0</v>
      </c>
      <c r="P64" s="5" t="n">
        <v>0</v>
      </c>
    </row>
    <row r="65" customFormat="false" ht="15" hidden="false" customHeight="false" outlineLevel="0" collapsed="false">
      <c r="A65" s="2" t="s">
        <v>80</v>
      </c>
      <c r="B65" s="2" t="s">
        <v>81</v>
      </c>
      <c r="C65" s="2" t="s">
        <v>38</v>
      </c>
      <c r="D65" s="2" t="s">
        <v>39</v>
      </c>
      <c r="E65" s="3" t="n">
        <v>453712</v>
      </c>
      <c r="F65" s="3" t="n">
        <v>1620789.4</v>
      </c>
      <c r="G65" s="3" t="n">
        <v>522118.3</v>
      </c>
      <c r="H65" s="3" t="n">
        <v>7244</v>
      </c>
      <c r="I65" s="4" t="n">
        <v>13.0252</v>
      </c>
      <c r="J65" s="4" t="n">
        <v>8.8879</v>
      </c>
      <c r="K65" s="4" t="n">
        <v>14.2984</v>
      </c>
      <c r="L65" s="4" t="n">
        <v>13.1656</v>
      </c>
      <c r="M65" s="5" t="n">
        <v>0</v>
      </c>
      <c r="N65" s="5" t="n">
        <v>1</v>
      </c>
      <c r="O65" s="5" t="n">
        <v>0</v>
      </c>
      <c r="P65" s="5" t="n">
        <v>0</v>
      </c>
    </row>
    <row r="66" customFormat="false" ht="15" hidden="false" customHeight="false" outlineLevel="0" collapsed="false">
      <c r="A66" s="2" t="s">
        <v>46</v>
      </c>
      <c r="B66" s="2" t="s">
        <v>47</v>
      </c>
      <c r="C66" s="2" t="s">
        <v>68</v>
      </c>
      <c r="D66" s="2" t="s">
        <v>69</v>
      </c>
      <c r="E66" s="3" t="n">
        <v>198273.4</v>
      </c>
      <c r="F66" s="3" t="n">
        <v>2741298</v>
      </c>
      <c r="G66" s="3" t="n">
        <v>1306574.1</v>
      </c>
      <c r="H66" s="3" t="n">
        <v>7411.7</v>
      </c>
      <c r="I66" s="4" t="n">
        <v>12.1974</v>
      </c>
      <c r="J66" s="4" t="n">
        <v>8.9108</v>
      </c>
      <c r="K66" s="4" t="n">
        <v>14.8239</v>
      </c>
      <c r="L66" s="4" t="n">
        <v>14.0829</v>
      </c>
      <c r="M66" s="5" t="n">
        <v>0</v>
      </c>
      <c r="N66" s="5" t="n">
        <v>0</v>
      </c>
      <c r="O66" s="5" t="n">
        <v>0</v>
      </c>
      <c r="P66" s="5" t="n">
        <v>0</v>
      </c>
    </row>
    <row r="67" customFormat="false" ht="15" hidden="false" customHeight="false" outlineLevel="0" collapsed="false">
      <c r="A67" s="2" t="s">
        <v>56</v>
      </c>
      <c r="B67" s="2" t="s">
        <v>57</v>
      </c>
      <c r="C67" s="2" t="s">
        <v>34</v>
      </c>
      <c r="D67" s="2" t="s">
        <v>35</v>
      </c>
      <c r="E67" s="3" t="n">
        <v>1500764.2</v>
      </c>
      <c r="F67" s="3" t="n">
        <v>3331626.2</v>
      </c>
      <c r="G67" s="3" t="n">
        <v>1102635</v>
      </c>
      <c r="H67" s="3" t="n">
        <v>6345.1</v>
      </c>
      <c r="I67" s="4" t="n">
        <v>14.2215</v>
      </c>
      <c r="J67" s="4" t="n">
        <v>8.7554</v>
      </c>
      <c r="K67" s="4" t="n">
        <v>15.019</v>
      </c>
      <c r="L67" s="4" t="n">
        <v>13.9132</v>
      </c>
      <c r="M67" s="5" t="n">
        <v>0</v>
      </c>
      <c r="N67" s="5" t="n">
        <v>0</v>
      </c>
      <c r="O67" s="5" t="n">
        <v>0</v>
      </c>
      <c r="P67" s="5" t="n">
        <v>0</v>
      </c>
    </row>
    <row r="68" customFormat="false" ht="15" hidden="false" customHeight="false" outlineLevel="0" collapsed="false">
      <c r="A68" s="2" t="s">
        <v>58</v>
      </c>
      <c r="B68" s="2" t="s">
        <v>59</v>
      </c>
      <c r="C68" s="2" t="s">
        <v>24</v>
      </c>
      <c r="D68" s="2" t="s">
        <v>25</v>
      </c>
      <c r="E68" s="3" t="n">
        <v>1201290.2</v>
      </c>
      <c r="F68" s="3" t="n">
        <v>639613.9</v>
      </c>
      <c r="G68" s="3" t="n">
        <v>476003.9</v>
      </c>
      <c r="H68" s="3" t="n">
        <v>5156.8</v>
      </c>
      <c r="I68" s="4" t="n">
        <v>13.9989</v>
      </c>
      <c r="J68" s="4" t="n">
        <v>8.5481</v>
      </c>
      <c r="K68" s="4" t="n">
        <v>13.3686</v>
      </c>
      <c r="L68" s="4" t="n">
        <v>13.0732</v>
      </c>
      <c r="M68" s="5" t="n">
        <v>0</v>
      </c>
      <c r="N68" s="5" t="n">
        <v>0</v>
      </c>
      <c r="O68" s="5" t="n">
        <v>0</v>
      </c>
      <c r="P68" s="5" t="n">
        <v>0</v>
      </c>
    </row>
    <row r="69" customFormat="false" ht="15" hidden="false" customHeight="false" outlineLevel="0" collapsed="false">
      <c r="A69" s="2" t="s">
        <v>30</v>
      </c>
      <c r="B69" s="2" t="s">
        <v>31</v>
      </c>
      <c r="C69" s="2" t="s">
        <v>58</v>
      </c>
      <c r="D69" s="2" t="s">
        <v>59</v>
      </c>
      <c r="E69" s="3" t="n">
        <v>669966.4</v>
      </c>
      <c r="F69" s="3" t="n">
        <v>1041614.3</v>
      </c>
      <c r="G69" s="3" t="n">
        <v>639613.9</v>
      </c>
      <c r="H69" s="3" t="n">
        <v>4249.9</v>
      </c>
      <c r="I69" s="4" t="n">
        <v>13.415</v>
      </c>
      <c r="J69" s="4" t="n">
        <v>8.3547</v>
      </c>
      <c r="K69" s="4" t="n">
        <v>13.8563</v>
      </c>
      <c r="L69" s="4" t="n">
        <v>13.3686</v>
      </c>
      <c r="M69" s="5" t="n">
        <v>0</v>
      </c>
      <c r="N69" s="5" t="n">
        <v>0</v>
      </c>
      <c r="O69" s="5" t="n">
        <v>0</v>
      </c>
      <c r="P69" s="5" t="n">
        <v>0</v>
      </c>
    </row>
    <row r="70" customFormat="false" ht="15" hidden="false" customHeight="false" outlineLevel="0" collapsed="false">
      <c r="A70" s="2" t="s">
        <v>34</v>
      </c>
      <c r="B70" s="2" t="s">
        <v>35</v>
      </c>
      <c r="C70" s="2" t="s">
        <v>58</v>
      </c>
      <c r="D70" s="2" t="s">
        <v>59</v>
      </c>
      <c r="E70" s="3" t="n">
        <v>2470065.9</v>
      </c>
      <c r="F70" s="3" t="n">
        <v>1102635</v>
      </c>
      <c r="G70" s="3" t="n">
        <v>639613.9</v>
      </c>
      <c r="H70" s="3" t="n">
        <v>4911.9</v>
      </c>
      <c r="I70" s="4" t="n">
        <v>14.7198</v>
      </c>
      <c r="J70" s="4" t="n">
        <v>8.4994</v>
      </c>
      <c r="K70" s="4" t="n">
        <v>13.9132</v>
      </c>
      <c r="L70" s="4" t="n">
        <v>13.3686</v>
      </c>
      <c r="M70" s="5" t="n">
        <v>0</v>
      </c>
      <c r="N70" s="5" t="n">
        <v>1</v>
      </c>
      <c r="O70" s="5" t="n">
        <v>0</v>
      </c>
      <c r="P70" s="5" t="n">
        <v>0</v>
      </c>
    </row>
    <row r="71" customFormat="false" ht="15" hidden="false" customHeight="false" outlineLevel="0" collapsed="false">
      <c r="A71" s="2" t="s">
        <v>48</v>
      </c>
      <c r="B71" s="2" t="s">
        <v>49</v>
      </c>
      <c r="C71" s="2" t="s">
        <v>20</v>
      </c>
      <c r="D71" s="2" t="s">
        <v>21</v>
      </c>
      <c r="E71" s="3" t="n">
        <v>87894.7</v>
      </c>
      <c r="F71" s="3" t="n">
        <v>1103773.9</v>
      </c>
      <c r="G71" s="3" t="n">
        <v>554078.6</v>
      </c>
      <c r="H71" s="3" t="n">
        <v>5880.4</v>
      </c>
      <c r="I71" s="4" t="n">
        <v>11.3839</v>
      </c>
      <c r="J71" s="4" t="n">
        <v>8.6794</v>
      </c>
      <c r="K71" s="4" t="n">
        <v>13.9142</v>
      </c>
      <c r="L71" s="4" t="n">
        <v>13.2251</v>
      </c>
      <c r="M71" s="5" t="n">
        <v>0</v>
      </c>
      <c r="N71" s="5" t="n">
        <v>1</v>
      </c>
      <c r="O71" s="5" t="n">
        <v>0</v>
      </c>
      <c r="P71" s="5" t="n">
        <v>0</v>
      </c>
    </row>
    <row r="72" customFormat="false" ht="15" hidden="false" customHeight="false" outlineLevel="0" collapsed="false">
      <c r="A72" s="2" t="s">
        <v>58</v>
      </c>
      <c r="B72" s="2" t="s">
        <v>59</v>
      </c>
      <c r="C72" s="2" t="s">
        <v>16</v>
      </c>
      <c r="D72" s="2" t="s">
        <v>17</v>
      </c>
      <c r="E72" s="3" t="n">
        <v>5266834.4</v>
      </c>
      <c r="F72" s="3" t="n">
        <v>639613.9</v>
      </c>
      <c r="G72" s="3" t="n">
        <v>2270468</v>
      </c>
      <c r="H72" s="3" t="n">
        <v>4385.9</v>
      </c>
      <c r="I72" s="4" t="n">
        <v>15.4769</v>
      </c>
      <c r="J72" s="4" t="n">
        <v>8.3862</v>
      </c>
      <c r="K72" s="4" t="n">
        <v>13.3686</v>
      </c>
      <c r="L72" s="4" t="n">
        <v>14.6355</v>
      </c>
      <c r="M72" s="5" t="n">
        <v>0</v>
      </c>
      <c r="N72" s="5" t="n">
        <v>0</v>
      </c>
      <c r="O72" s="5" t="n">
        <v>0</v>
      </c>
      <c r="P72" s="5" t="n">
        <v>0</v>
      </c>
    </row>
    <row r="73" customFormat="false" ht="15" hidden="false" customHeight="false" outlineLevel="0" collapsed="false">
      <c r="A73" s="2" t="s">
        <v>68</v>
      </c>
      <c r="B73" s="2" t="s">
        <v>69</v>
      </c>
      <c r="C73" s="2" t="s">
        <v>26</v>
      </c>
      <c r="D73" s="2" t="s">
        <v>27</v>
      </c>
      <c r="E73" s="3" t="n">
        <v>18702.3</v>
      </c>
      <c r="F73" s="3" t="n">
        <v>1306574.1</v>
      </c>
      <c r="G73" s="3" t="n">
        <v>2689070</v>
      </c>
      <c r="H73" s="3" t="n">
        <v>4449</v>
      </c>
      <c r="I73" s="4" t="n">
        <v>9.8364</v>
      </c>
      <c r="J73" s="4" t="n">
        <v>8.4004</v>
      </c>
      <c r="K73" s="4" t="n">
        <v>14.0829</v>
      </c>
      <c r="L73" s="4" t="n">
        <v>14.8047</v>
      </c>
      <c r="M73" s="5" t="n">
        <v>0</v>
      </c>
      <c r="N73" s="5" t="n">
        <v>0</v>
      </c>
      <c r="O73" s="5" t="n">
        <v>0</v>
      </c>
      <c r="P73" s="5" t="n">
        <v>0</v>
      </c>
    </row>
    <row r="74" customFormat="false" ht="15" hidden="false" customHeight="false" outlineLevel="0" collapsed="false">
      <c r="A74" s="2" t="s">
        <v>32</v>
      </c>
      <c r="B74" s="2" t="s">
        <v>33</v>
      </c>
      <c r="C74" s="2" t="s">
        <v>70</v>
      </c>
      <c r="D74" s="2" t="s">
        <v>71</v>
      </c>
      <c r="E74" s="3" t="n">
        <v>65319729.3</v>
      </c>
      <c r="F74" s="3" t="n">
        <v>17797724</v>
      </c>
      <c r="G74" s="3" t="n">
        <v>8411253</v>
      </c>
      <c r="H74" s="3" t="n">
        <v>3902</v>
      </c>
      <c r="I74" s="4" t="n">
        <v>17.9948</v>
      </c>
      <c r="J74" s="4" t="n">
        <v>8.2693</v>
      </c>
      <c r="K74" s="4" t="n">
        <v>16.6946</v>
      </c>
      <c r="L74" s="4" t="n">
        <v>15.9451</v>
      </c>
      <c r="M74" s="5" t="n">
        <v>1</v>
      </c>
      <c r="N74" s="5" t="n">
        <v>0</v>
      </c>
      <c r="O74" s="5" t="n">
        <v>0</v>
      </c>
      <c r="P74" s="5" t="n">
        <v>0</v>
      </c>
    </row>
    <row r="75" customFormat="false" ht="15" hidden="false" customHeight="false" outlineLevel="0" collapsed="false">
      <c r="A75" s="2" t="s">
        <v>74</v>
      </c>
      <c r="B75" s="2" t="s">
        <v>75</v>
      </c>
      <c r="C75" s="2" t="s">
        <v>48</v>
      </c>
      <c r="D75" s="2" t="s">
        <v>49</v>
      </c>
      <c r="E75" s="3" t="n">
        <v>80826.7</v>
      </c>
      <c r="F75" s="3" t="n">
        <v>1045692.6</v>
      </c>
      <c r="G75" s="3" t="n">
        <v>1103773.9</v>
      </c>
      <c r="H75" s="3" t="n">
        <v>3824.4</v>
      </c>
      <c r="I75" s="4" t="n">
        <v>11.3001</v>
      </c>
      <c r="J75" s="4" t="n">
        <v>8.2491</v>
      </c>
      <c r="K75" s="4" t="n">
        <v>13.8602</v>
      </c>
      <c r="L75" s="4" t="n">
        <v>13.9142</v>
      </c>
      <c r="M75" s="5" t="n">
        <v>0</v>
      </c>
      <c r="N75" s="5" t="n">
        <v>1</v>
      </c>
      <c r="O75" s="5" t="n">
        <v>0</v>
      </c>
      <c r="P75" s="5" t="n">
        <v>0</v>
      </c>
    </row>
    <row r="76" customFormat="false" ht="15" hidden="false" customHeight="false" outlineLevel="0" collapsed="false">
      <c r="A76" s="2" t="s">
        <v>74</v>
      </c>
      <c r="B76" s="2" t="s">
        <v>75</v>
      </c>
      <c r="C76" s="2" t="s">
        <v>24</v>
      </c>
      <c r="D76" s="2" t="s">
        <v>25</v>
      </c>
      <c r="E76" s="3" t="n">
        <v>423426.3</v>
      </c>
      <c r="F76" s="3" t="n">
        <v>1045692.6</v>
      </c>
      <c r="G76" s="3" t="n">
        <v>476003.9</v>
      </c>
      <c r="H76" s="3" t="n">
        <v>5889.2</v>
      </c>
      <c r="I76" s="4" t="n">
        <v>12.9561</v>
      </c>
      <c r="J76" s="4" t="n">
        <v>8.6809</v>
      </c>
      <c r="K76" s="4" t="n">
        <v>13.8602</v>
      </c>
      <c r="L76" s="4" t="n">
        <v>13.0732</v>
      </c>
      <c r="M76" s="5" t="n">
        <v>0</v>
      </c>
      <c r="N76" s="5" t="n">
        <v>0</v>
      </c>
      <c r="O76" s="5" t="n">
        <v>0</v>
      </c>
      <c r="P76" s="5" t="n">
        <v>0</v>
      </c>
    </row>
    <row r="77" customFormat="false" ht="15" hidden="false" customHeight="false" outlineLevel="0" collapsed="false">
      <c r="A77" s="2" t="s">
        <v>78</v>
      </c>
      <c r="B77" s="2" t="s">
        <v>79</v>
      </c>
      <c r="C77" s="2" t="s">
        <v>70</v>
      </c>
      <c r="D77" s="2" t="s">
        <v>71</v>
      </c>
      <c r="E77" s="3" t="n">
        <v>9376145.8</v>
      </c>
      <c r="F77" s="3" t="n">
        <v>5162353.5</v>
      </c>
      <c r="G77" s="3" t="n">
        <v>8411253</v>
      </c>
      <c r="H77" s="3" t="n">
        <v>5913.5</v>
      </c>
      <c r="I77" s="4" t="n">
        <v>16.0537</v>
      </c>
      <c r="J77" s="4" t="n">
        <v>8.685</v>
      </c>
      <c r="K77" s="4" t="n">
        <v>15.4569</v>
      </c>
      <c r="L77" s="4" t="n">
        <v>15.9451</v>
      </c>
      <c r="M77" s="5" t="n">
        <v>0</v>
      </c>
      <c r="N77" s="5" t="n">
        <v>0</v>
      </c>
      <c r="O77" s="5" t="n">
        <v>1</v>
      </c>
      <c r="P77" s="5" t="n">
        <v>0</v>
      </c>
    </row>
    <row r="78" customFormat="false" ht="15" hidden="false" customHeight="false" outlineLevel="0" collapsed="false">
      <c r="A78" s="2" t="s">
        <v>52</v>
      </c>
      <c r="B78" s="2" t="s">
        <v>53</v>
      </c>
      <c r="C78" s="2" t="s">
        <v>56</v>
      </c>
      <c r="D78" s="2" t="s">
        <v>57</v>
      </c>
      <c r="E78" s="3" t="n">
        <v>965287.5</v>
      </c>
      <c r="F78" s="3" t="n">
        <v>743163.9</v>
      </c>
      <c r="G78" s="3" t="n">
        <v>3331626.2</v>
      </c>
      <c r="H78" s="3" t="n">
        <v>7455</v>
      </c>
      <c r="I78" s="4" t="n">
        <v>13.7802</v>
      </c>
      <c r="J78" s="4" t="n">
        <v>8.9166</v>
      </c>
      <c r="K78" s="4" t="n">
        <v>13.5187</v>
      </c>
      <c r="L78" s="4" t="n">
        <v>15.019</v>
      </c>
      <c r="M78" s="5" t="n">
        <v>0</v>
      </c>
      <c r="N78" s="5" t="n">
        <v>0</v>
      </c>
      <c r="O78" s="5" t="n">
        <v>0</v>
      </c>
      <c r="P78" s="5" t="n">
        <v>0</v>
      </c>
    </row>
    <row r="79" customFormat="false" ht="15" hidden="false" customHeight="false" outlineLevel="0" collapsed="false">
      <c r="A79" s="2" t="s">
        <v>56</v>
      </c>
      <c r="B79" s="2" t="s">
        <v>57</v>
      </c>
      <c r="C79" s="2" t="s">
        <v>26</v>
      </c>
      <c r="D79" s="2" t="s">
        <v>27</v>
      </c>
      <c r="E79" s="3" t="n">
        <v>4922822.6</v>
      </c>
      <c r="F79" s="3" t="n">
        <v>3331626.2</v>
      </c>
      <c r="G79" s="3" t="n">
        <v>2689070</v>
      </c>
      <c r="H79" s="3" t="n">
        <v>3857.9</v>
      </c>
      <c r="I79" s="4" t="n">
        <v>15.4094</v>
      </c>
      <c r="J79" s="4" t="n">
        <v>8.2579</v>
      </c>
      <c r="K79" s="4" t="n">
        <v>15.019</v>
      </c>
      <c r="L79" s="4" t="n">
        <v>14.8047</v>
      </c>
      <c r="M79" s="5" t="n">
        <v>0</v>
      </c>
      <c r="N79" s="5" t="n">
        <v>0</v>
      </c>
      <c r="O79" s="5" t="n">
        <v>0</v>
      </c>
      <c r="P79" s="5" t="n">
        <v>0</v>
      </c>
    </row>
    <row r="80" customFormat="false" ht="15" hidden="false" customHeight="false" outlineLevel="0" collapsed="false">
      <c r="A80" s="2" t="s">
        <v>84</v>
      </c>
      <c r="B80" s="2" t="s">
        <v>84</v>
      </c>
      <c r="C80" s="2" t="s">
        <v>60</v>
      </c>
      <c r="D80" s="2" t="s">
        <v>61</v>
      </c>
      <c r="E80" s="3" t="n">
        <v>4263410.2</v>
      </c>
      <c r="F80" s="3" t="n">
        <v>17712704</v>
      </c>
      <c r="G80" s="3" t="n">
        <v>442183.8</v>
      </c>
      <c r="H80" s="3" t="n">
        <v>7441.1</v>
      </c>
      <c r="I80" s="4" t="n">
        <v>15.2656</v>
      </c>
      <c r="J80" s="4" t="n">
        <v>8.9148</v>
      </c>
      <c r="K80" s="4" t="n">
        <v>16.6898</v>
      </c>
      <c r="L80" s="4" t="n">
        <v>12.9995</v>
      </c>
      <c r="M80" s="5" t="n">
        <v>0</v>
      </c>
      <c r="N80" s="5" t="n">
        <v>0</v>
      </c>
      <c r="O80" s="5" t="n">
        <v>0</v>
      </c>
      <c r="P80" s="5" t="n">
        <v>1</v>
      </c>
    </row>
    <row r="81" customFormat="false" ht="15" hidden="false" customHeight="false" outlineLevel="0" collapsed="false">
      <c r="A81" s="2" t="s">
        <v>85</v>
      </c>
      <c r="B81" s="2" t="s">
        <v>86</v>
      </c>
      <c r="C81" s="2" t="s">
        <v>68</v>
      </c>
      <c r="D81" s="2" t="s">
        <v>69</v>
      </c>
      <c r="E81" s="3" t="n">
        <v>2614.5</v>
      </c>
      <c r="F81" s="3" t="n">
        <v>672752.5</v>
      </c>
      <c r="G81" s="3" t="n">
        <v>1306574.1</v>
      </c>
      <c r="H81" s="3" t="n">
        <v>7576</v>
      </c>
      <c r="I81" s="4" t="n">
        <v>7.8688</v>
      </c>
      <c r="J81" s="4" t="n">
        <v>8.9327</v>
      </c>
      <c r="K81" s="4" t="n">
        <v>13.4191</v>
      </c>
      <c r="L81" s="4" t="n">
        <v>14.0829</v>
      </c>
      <c r="M81" s="5" t="n">
        <v>0</v>
      </c>
      <c r="N81" s="5" t="n">
        <v>0</v>
      </c>
      <c r="O81" s="5" t="n">
        <v>0</v>
      </c>
      <c r="P81" s="5" t="n">
        <v>0</v>
      </c>
    </row>
    <row r="82" customFormat="false" ht="15" hidden="false" customHeight="false" outlineLevel="0" collapsed="false">
      <c r="A82" s="2" t="s">
        <v>87</v>
      </c>
      <c r="B82" s="2" t="s">
        <v>88</v>
      </c>
      <c r="C82" s="2" t="s">
        <v>72</v>
      </c>
      <c r="D82" s="2" t="s">
        <v>73</v>
      </c>
      <c r="E82" s="3" t="n">
        <v>1230227.3</v>
      </c>
      <c r="F82" s="3" t="n">
        <v>1177003.4</v>
      </c>
      <c r="G82" s="3" t="n">
        <v>800424.5</v>
      </c>
      <c r="H82" s="3" t="n">
        <v>5728.4</v>
      </c>
      <c r="I82" s="4" t="n">
        <v>14.0227</v>
      </c>
      <c r="J82" s="4" t="n">
        <v>8.6532</v>
      </c>
      <c r="K82" s="4" t="n">
        <v>13.9785</v>
      </c>
      <c r="L82" s="4" t="n">
        <v>13.5929</v>
      </c>
      <c r="M82" s="5" t="n">
        <v>0</v>
      </c>
      <c r="N82" s="5" t="n">
        <v>1</v>
      </c>
      <c r="O82" s="5" t="n">
        <v>1</v>
      </c>
      <c r="P82" s="5" t="n">
        <v>0</v>
      </c>
    </row>
    <row r="83" customFormat="false" ht="15" hidden="false" customHeight="false" outlineLevel="0" collapsed="false">
      <c r="A83" s="2" t="s">
        <v>42</v>
      </c>
      <c r="B83" s="2" t="s">
        <v>43</v>
      </c>
      <c r="C83" s="2" t="s">
        <v>68</v>
      </c>
      <c r="D83" s="2" t="s">
        <v>69</v>
      </c>
      <c r="E83" s="3" t="n">
        <v>234006.1</v>
      </c>
      <c r="F83" s="3" t="n">
        <v>1667510.2</v>
      </c>
      <c r="G83" s="3" t="n">
        <v>1306574.1</v>
      </c>
      <c r="H83" s="3" t="n">
        <v>4835</v>
      </c>
      <c r="I83" s="4" t="n">
        <v>12.3631</v>
      </c>
      <c r="J83" s="4" t="n">
        <v>8.4836</v>
      </c>
      <c r="K83" s="4" t="n">
        <v>14.3268</v>
      </c>
      <c r="L83" s="4" t="n">
        <v>14.0829</v>
      </c>
      <c r="M83" s="5" t="n">
        <v>0</v>
      </c>
      <c r="N83" s="5" t="n">
        <v>0</v>
      </c>
      <c r="O83" s="5" t="n">
        <v>0</v>
      </c>
      <c r="P83" s="5" t="n">
        <v>0</v>
      </c>
    </row>
    <row r="84" customFormat="false" ht="15" hidden="false" customHeight="false" outlineLevel="0" collapsed="false">
      <c r="A84" s="2" t="s">
        <v>20</v>
      </c>
      <c r="B84" s="2" t="s">
        <v>21</v>
      </c>
      <c r="C84" s="2" t="s">
        <v>44</v>
      </c>
      <c r="D84" s="2" t="s">
        <v>45</v>
      </c>
      <c r="E84" s="3" t="n">
        <v>37353.6</v>
      </c>
      <c r="F84" s="3" t="n">
        <v>554078.6</v>
      </c>
      <c r="G84" s="3" t="n">
        <v>485827</v>
      </c>
      <c r="H84" s="3" t="n">
        <v>6263.5</v>
      </c>
      <c r="I84" s="4" t="n">
        <v>10.5282</v>
      </c>
      <c r="J84" s="4" t="n">
        <v>8.7425</v>
      </c>
      <c r="K84" s="4" t="n">
        <v>13.2251</v>
      </c>
      <c r="L84" s="4" t="n">
        <v>13.0936</v>
      </c>
      <c r="M84" s="5" t="n">
        <v>0</v>
      </c>
      <c r="N84" s="5" t="n">
        <v>0</v>
      </c>
      <c r="O84" s="5" t="n">
        <v>0</v>
      </c>
      <c r="P84" s="5" t="n">
        <v>0</v>
      </c>
    </row>
    <row r="85" customFormat="false" ht="15" hidden="false" customHeight="false" outlineLevel="0" collapsed="false">
      <c r="A85" s="2" t="s">
        <v>22</v>
      </c>
      <c r="B85" s="2" t="s">
        <v>23</v>
      </c>
      <c r="C85" s="2" t="s">
        <v>36</v>
      </c>
      <c r="D85" s="2" t="s">
        <v>37</v>
      </c>
      <c r="E85" s="3" t="n">
        <v>298680.8</v>
      </c>
      <c r="F85" s="3" t="n">
        <v>569957.4</v>
      </c>
      <c r="G85" s="3" t="n">
        <v>611053.3</v>
      </c>
      <c r="H85" s="3" t="n">
        <v>6521</v>
      </c>
      <c r="I85" s="4" t="n">
        <v>12.6071</v>
      </c>
      <c r="J85" s="4" t="n">
        <v>8.7828</v>
      </c>
      <c r="K85" s="4" t="n">
        <v>13.2533</v>
      </c>
      <c r="L85" s="4" t="n">
        <v>13.3229</v>
      </c>
      <c r="M85" s="5" t="n">
        <v>0</v>
      </c>
      <c r="N85" s="5" t="n">
        <v>0</v>
      </c>
      <c r="O85" s="5" t="n">
        <v>0</v>
      </c>
      <c r="P85" s="5" t="n">
        <v>0</v>
      </c>
    </row>
    <row r="86" customFormat="false" ht="15" hidden="false" customHeight="false" outlineLevel="0" collapsed="false">
      <c r="A86" s="2" t="s">
        <v>78</v>
      </c>
      <c r="B86" s="2" t="s">
        <v>79</v>
      </c>
      <c r="C86" s="2" t="s">
        <v>68</v>
      </c>
      <c r="D86" s="2" t="s">
        <v>69</v>
      </c>
      <c r="E86" s="3" t="n">
        <v>62631.9</v>
      </c>
      <c r="F86" s="3" t="n">
        <v>5162353.5</v>
      </c>
      <c r="G86" s="3" t="n">
        <v>1306574.1</v>
      </c>
      <c r="H86" s="3" t="n">
        <v>7508.1</v>
      </c>
      <c r="I86" s="4" t="n">
        <v>11.045</v>
      </c>
      <c r="J86" s="4" t="n">
        <v>8.9237</v>
      </c>
      <c r="K86" s="4" t="n">
        <v>15.4569</v>
      </c>
      <c r="L86" s="4" t="n">
        <v>14.0829</v>
      </c>
      <c r="M86" s="5" t="n">
        <v>0</v>
      </c>
      <c r="N86" s="5" t="n">
        <v>0</v>
      </c>
      <c r="O86" s="5" t="n">
        <v>0</v>
      </c>
      <c r="P86" s="5" t="n">
        <v>0</v>
      </c>
    </row>
    <row r="87" customFormat="false" ht="15" hidden="false" customHeight="false" outlineLevel="0" collapsed="false">
      <c r="A87" s="2" t="s">
        <v>26</v>
      </c>
      <c r="B87" s="2" t="s">
        <v>27</v>
      </c>
      <c r="C87" s="2" t="s">
        <v>58</v>
      </c>
      <c r="D87" s="2" t="s">
        <v>59</v>
      </c>
      <c r="E87" s="3" t="n">
        <v>3679047.1</v>
      </c>
      <c r="F87" s="3" t="n">
        <v>2689070</v>
      </c>
      <c r="G87" s="3" t="n">
        <v>639613.9</v>
      </c>
      <c r="H87" s="3" t="n">
        <v>5319.8</v>
      </c>
      <c r="I87" s="4" t="n">
        <v>15.1182</v>
      </c>
      <c r="J87" s="4" t="n">
        <v>8.5792</v>
      </c>
      <c r="K87" s="4" t="n">
        <v>14.8047</v>
      </c>
      <c r="L87" s="4" t="n">
        <v>13.3686</v>
      </c>
      <c r="M87" s="5" t="n">
        <v>0</v>
      </c>
      <c r="N87" s="5" t="n">
        <v>0</v>
      </c>
      <c r="O87" s="5" t="n">
        <v>0</v>
      </c>
      <c r="P87" s="5" t="n">
        <v>0</v>
      </c>
    </row>
    <row r="88" customFormat="false" ht="15" hidden="false" customHeight="false" outlineLevel="0" collapsed="false">
      <c r="A88" s="2" t="s">
        <v>40</v>
      </c>
      <c r="B88" s="2" t="s">
        <v>41</v>
      </c>
      <c r="C88" s="2" t="s">
        <v>58</v>
      </c>
      <c r="D88" s="2" t="s">
        <v>59</v>
      </c>
      <c r="E88" s="3" t="n">
        <v>2961367.9</v>
      </c>
      <c r="F88" s="3" t="n">
        <v>558580.2</v>
      </c>
      <c r="G88" s="3" t="n">
        <v>639613.9</v>
      </c>
      <c r="H88" s="3" t="n">
        <v>4833.7</v>
      </c>
      <c r="I88" s="4" t="n">
        <v>14.9012</v>
      </c>
      <c r="J88" s="4" t="n">
        <v>8.4834</v>
      </c>
      <c r="K88" s="4" t="n">
        <v>13.2332</v>
      </c>
      <c r="L88" s="4" t="n">
        <v>13.3686</v>
      </c>
      <c r="M88" s="5" t="n">
        <v>0</v>
      </c>
      <c r="N88" s="5" t="n">
        <v>1</v>
      </c>
      <c r="O88" s="5" t="n">
        <v>0</v>
      </c>
      <c r="P88" s="5" t="n">
        <v>0</v>
      </c>
    </row>
    <row r="89" customFormat="false" ht="15" hidden="false" customHeight="false" outlineLevel="0" collapsed="false">
      <c r="A89" s="2" t="s">
        <v>64</v>
      </c>
      <c r="B89" s="2" t="s">
        <v>65</v>
      </c>
      <c r="C89" s="2" t="s">
        <v>89</v>
      </c>
      <c r="D89" s="2" t="s">
        <v>90</v>
      </c>
      <c r="E89" s="3" t="n">
        <v>289416.4</v>
      </c>
      <c r="F89" s="3" t="n">
        <v>732951</v>
      </c>
      <c r="G89" s="3" t="n">
        <v>2288709</v>
      </c>
      <c r="H89" s="3" t="n">
        <v>7480.9</v>
      </c>
      <c r="I89" s="4" t="n">
        <v>12.5756</v>
      </c>
      <c r="J89" s="4" t="n">
        <v>8.9201</v>
      </c>
      <c r="K89" s="4" t="n">
        <v>13.5048</v>
      </c>
      <c r="L89" s="4" t="n">
        <v>14.6435</v>
      </c>
      <c r="M89" s="5" t="n">
        <v>0</v>
      </c>
      <c r="N89" s="5" t="n">
        <v>1</v>
      </c>
      <c r="O89" s="5" t="n">
        <v>0</v>
      </c>
      <c r="P89" s="5" t="n">
        <v>0</v>
      </c>
    </row>
    <row r="90" customFormat="false" ht="15" hidden="false" customHeight="false" outlineLevel="0" collapsed="false">
      <c r="A90" s="2" t="s">
        <v>50</v>
      </c>
      <c r="B90" s="2" t="s">
        <v>51</v>
      </c>
      <c r="C90" s="2" t="s">
        <v>34</v>
      </c>
      <c r="D90" s="2" t="s">
        <v>35</v>
      </c>
      <c r="E90" s="3" t="n">
        <v>347181.7</v>
      </c>
      <c r="F90" s="3" t="n">
        <v>2189993.8</v>
      </c>
      <c r="G90" s="3" t="n">
        <v>1102635</v>
      </c>
      <c r="H90" s="3" t="n">
        <v>7188.2</v>
      </c>
      <c r="I90" s="4" t="n">
        <v>12.7576</v>
      </c>
      <c r="J90" s="4" t="n">
        <v>8.8802</v>
      </c>
      <c r="K90" s="4" t="n">
        <v>14.5994</v>
      </c>
      <c r="L90" s="4" t="n">
        <v>13.9132</v>
      </c>
      <c r="M90" s="5" t="n">
        <v>0</v>
      </c>
      <c r="N90" s="5" t="n">
        <v>0</v>
      </c>
      <c r="O90" s="5" t="n">
        <v>0</v>
      </c>
      <c r="P90" s="5" t="n">
        <v>0</v>
      </c>
    </row>
    <row r="91" customFormat="false" ht="15" hidden="false" customHeight="false" outlineLevel="0" collapsed="false">
      <c r="A91" s="2" t="s">
        <v>34</v>
      </c>
      <c r="B91" s="2" t="s">
        <v>35</v>
      </c>
      <c r="C91" s="2" t="s">
        <v>48</v>
      </c>
      <c r="D91" s="2" t="s">
        <v>49</v>
      </c>
      <c r="E91" s="3" t="n">
        <v>1013729</v>
      </c>
      <c r="F91" s="3" t="n">
        <v>1102635</v>
      </c>
      <c r="G91" s="3" t="n">
        <v>1103773.9</v>
      </c>
      <c r="H91" s="3" t="n">
        <v>7298.9</v>
      </c>
      <c r="I91" s="4" t="n">
        <v>13.8291</v>
      </c>
      <c r="J91" s="4" t="n">
        <v>8.8955</v>
      </c>
      <c r="K91" s="4" t="n">
        <v>13.9132</v>
      </c>
      <c r="L91" s="4" t="n">
        <v>13.9142</v>
      </c>
      <c r="M91" s="5" t="n">
        <v>0</v>
      </c>
      <c r="N91" s="5" t="n">
        <v>1</v>
      </c>
      <c r="O91" s="5" t="n">
        <v>0</v>
      </c>
      <c r="P91" s="5" t="n">
        <v>0</v>
      </c>
    </row>
    <row r="92" customFormat="false" ht="15" hidden="false" customHeight="false" outlineLevel="0" collapsed="false">
      <c r="A92" s="2" t="s">
        <v>62</v>
      </c>
      <c r="B92" s="2" t="s">
        <v>63</v>
      </c>
      <c r="C92" s="2" t="s">
        <v>70</v>
      </c>
      <c r="D92" s="2" t="s">
        <v>71</v>
      </c>
      <c r="E92" s="3" t="n">
        <v>2455667</v>
      </c>
      <c r="F92" s="3" t="n">
        <v>848082.2</v>
      </c>
      <c r="G92" s="3" t="n">
        <v>8411253</v>
      </c>
      <c r="H92" s="3" t="n">
        <v>7018</v>
      </c>
      <c r="I92" s="4" t="n">
        <v>14.7139</v>
      </c>
      <c r="J92" s="4" t="n">
        <v>8.8562</v>
      </c>
      <c r="K92" s="4" t="n">
        <v>13.6507</v>
      </c>
      <c r="L92" s="4" t="n">
        <v>15.9451</v>
      </c>
      <c r="M92" s="5" t="n">
        <v>0</v>
      </c>
      <c r="N92" s="5" t="n">
        <v>0</v>
      </c>
      <c r="O92" s="5" t="n">
        <v>0</v>
      </c>
      <c r="P92" s="5" t="n">
        <v>0</v>
      </c>
    </row>
    <row r="93" customFormat="false" ht="15" hidden="false" customHeight="false" outlineLevel="0" collapsed="false">
      <c r="A93" s="2" t="s">
        <v>84</v>
      </c>
      <c r="B93" s="2" t="s">
        <v>84</v>
      </c>
      <c r="C93" s="2" t="s">
        <v>42</v>
      </c>
      <c r="D93" s="2" t="s">
        <v>43</v>
      </c>
      <c r="E93" s="3" t="n">
        <v>13460113.4</v>
      </c>
      <c r="F93" s="3" t="n">
        <v>17712704</v>
      </c>
      <c r="G93" s="3" t="n">
        <v>1667510.2</v>
      </c>
      <c r="H93" s="3" t="n">
        <v>7461.2</v>
      </c>
      <c r="I93" s="4" t="n">
        <v>16.4152</v>
      </c>
      <c r="J93" s="4" t="n">
        <v>8.9175</v>
      </c>
      <c r="K93" s="4" t="n">
        <v>16.6898</v>
      </c>
      <c r="L93" s="4" t="n">
        <v>14.3268</v>
      </c>
      <c r="M93" s="5" t="n">
        <v>0</v>
      </c>
      <c r="N93" s="5" t="n">
        <v>1</v>
      </c>
      <c r="O93" s="5" t="n">
        <v>0</v>
      </c>
      <c r="P93" s="5" t="n">
        <v>1</v>
      </c>
    </row>
    <row r="94" customFormat="false" ht="15" hidden="false" customHeight="false" outlineLevel="0" collapsed="false">
      <c r="A94" s="2" t="s">
        <v>24</v>
      </c>
      <c r="B94" s="2" t="s">
        <v>25</v>
      </c>
      <c r="C94" s="2" t="s">
        <v>70</v>
      </c>
      <c r="D94" s="2" t="s">
        <v>71</v>
      </c>
      <c r="E94" s="3" t="n">
        <v>5399579.6</v>
      </c>
      <c r="F94" s="3" t="n">
        <v>476003.9</v>
      </c>
      <c r="G94" s="3" t="n">
        <v>8411253</v>
      </c>
      <c r="H94" s="3" t="n">
        <v>7055</v>
      </c>
      <c r="I94" s="4" t="n">
        <v>15.5018</v>
      </c>
      <c r="J94" s="4" t="n">
        <v>8.8615</v>
      </c>
      <c r="K94" s="4" t="n">
        <v>13.0732</v>
      </c>
      <c r="L94" s="4" t="n">
        <v>15.9451</v>
      </c>
      <c r="M94" s="5" t="n">
        <v>0</v>
      </c>
      <c r="N94" s="5" t="n">
        <v>0</v>
      </c>
      <c r="O94" s="5" t="n">
        <v>0</v>
      </c>
      <c r="P94" s="5" t="n">
        <v>0</v>
      </c>
    </row>
    <row r="95" customFormat="false" ht="15" hidden="false" customHeight="false" outlineLevel="0" collapsed="false">
      <c r="A95" s="2" t="s">
        <v>56</v>
      </c>
      <c r="B95" s="2" t="s">
        <v>57</v>
      </c>
      <c r="C95" s="2" t="s">
        <v>82</v>
      </c>
      <c r="D95" s="2" t="s">
        <v>83</v>
      </c>
      <c r="E95" s="3" t="n">
        <v>1014026.5</v>
      </c>
      <c r="F95" s="3" t="n">
        <v>3331626.2</v>
      </c>
      <c r="G95" s="3" t="n">
        <v>822121.3</v>
      </c>
      <c r="H95" s="3" t="n">
        <v>6845.5</v>
      </c>
      <c r="I95" s="4" t="n">
        <v>13.8294</v>
      </c>
      <c r="J95" s="4" t="n">
        <v>8.8313</v>
      </c>
      <c r="K95" s="4" t="n">
        <v>15.019</v>
      </c>
      <c r="L95" s="4" t="n">
        <v>13.6196</v>
      </c>
      <c r="M95" s="5" t="n">
        <v>0</v>
      </c>
      <c r="N95" s="5" t="n">
        <v>0</v>
      </c>
      <c r="O95" s="5" t="n">
        <v>0</v>
      </c>
      <c r="P95" s="5" t="n">
        <v>0</v>
      </c>
    </row>
    <row r="96" customFormat="false" ht="15" hidden="false" customHeight="false" outlineLevel="0" collapsed="false">
      <c r="A96" s="2" t="s">
        <v>42</v>
      </c>
      <c r="B96" s="2" t="s">
        <v>43</v>
      </c>
      <c r="C96" s="2" t="s">
        <v>36</v>
      </c>
      <c r="D96" s="2" t="s">
        <v>37</v>
      </c>
      <c r="E96" s="3" t="n">
        <v>157092.6</v>
      </c>
      <c r="F96" s="3" t="n">
        <v>1667510.2</v>
      </c>
      <c r="G96" s="3" t="n">
        <v>611053.3</v>
      </c>
      <c r="H96" s="3" t="n">
        <v>4258.8</v>
      </c>
      <c r="I96" s="4" t="n">
        <v>11.9646</v>
      </c>
      <c r="J96" s="4" t="n">
        <v>8.3568</v>
      </c>
      <c r="K96" s="4" t="n">
        <v>14.3268</v>
      </c>
      <c r="L96" s="4" t="n">
        <v>13.3229</v>
      </c>
      <c r="M96" s="5" t="n">
        <v>0</v>
      </c>
      <c r="N96" s="5" t="n">
        <v>0</v>
      </c>
      <c r="O96" s="5" t="n">
        <v>0</v>
      </c>
      <c r="P96" s="5" t="n">
        <v>0</v>
      </c>
    </row>
    <row r="97" customFormat="false" ht="15" hidden="false" customHeight="false" outlineLevel="0" collapsed="false">
      <c r="A97" s="2" t="s">
        <v>82</v>
      </c>
      <c r="B97" s="2" t="s">
        <v>83</v>
      </c>
      <c r="C97" s="2" t="s">
        <v>44</v>
      </c>
      <c r="D97" s="2" t="s">
        <v>45</v>
      </c>
      <c r="E97" s="3" t="n">
        <v>2685.9</v>
      </c>
      <c r="F97" s="3" t="n">
        <v>822121.3</v>
      </c>
      <c r="G97" s="3" t="n">
        <v>485827</v>
      </c>
      <c r="H97" s="3" t="n">
        <v>4525.8</v>
      </c>
      <c r="I97" s="4" t="n">
        <v>7.8958</v>
      </c>
      <c r="J97" s="4" t="n">
        <v>8.4175</v>
      </c>
      <c r="K97" s="4" t="n">
        <v>13.6196</v>
      </c>
      <c r="L97" s="4" t="n">
        <v>13.0936</v>
      </c>
      <c r="M97" s="5" t="n">
        <v>0</v>
      </c>
      <c r="N97" s="5" t="n">
        <v>0</v>
      </c>
      <c r="O97" s="5" t="n">
        <v>0</v>
      </c>
      <c r="P97" s="5" t="n">
        <v>0</v>
      </c>
    </row>
    <row r="98" customFormat="false" ht="15" hidden="false" customHeight="false" outlineLevel="0" collapsed="false">
      <c r="A98" s="2" t="s">
        <v>54</v>
      </c>
      <c r="B98" s="2" t="s">
        <v>55</v>
      </c>
      <c r="C98" s="2" t="s">
        <v>68</v>
      </c>
      <c r="D98" s="2" t="s">
        <v>69</v>
      </c>
      <c r="E98" s="3" t="n">
        <v>1684934.7</v>
      </c>
      <c r="F98" s="3" t="n">
        <v>4042900.2</v>
      </c>
      <c r="G98" s="3" t="n">
        <v>1306574.1</v>
      </c>
      <c r="H98" s="3" t="n">
        <v>3844.2</v>
      </c>
      <c r="I98" s="4" t="n">
        <v>14.3372</v>
      </c>
      <c r="J98" s="4" t="n">
        <v>8.2543</v>
      </c>
      <c r="K98" s="4" t="n">
        <v>15.2125</v>
      </c>
      <c r="L98" s="4" t="n">
        <v>14.0829</v>
      </c>
      <c r="M98" s="5" t="n">
        <v>0</v>
      </c>
      <c r="N98" s="5" t="n">
        <v>0</v>
      </c>
      <c r="O98" s="5" t="n">
        <v>0</v>
      </c>
      <c r="P98" s="5" t="n">
        <v>0</v>
      </c>
    </row>
    <row r="99" customFormat="false" ht="15" hidden="false" customHeight="false" outlineLevel="0" collapsed="false">
      <c r="A99" s="2" t="s">
        <v>80</v>
      </c>
      <c r="B99" s="2" t="s">
        <v>81</v>
      </c>
      <c r="C99" s="2" t="s">
        <v>42</v>
      </c>
      <c r="D99" s="2" t="s">
        <v>43</v>
      </c>
      <c r="E99" s="3" t="n">
        <v>1036368.8</v>
      </c>
      <c r="F99" s="3" t="n">
        <v>1620789.4</v>
      </c>
      <c r="G99" s="3" t="n">
        <v>1667510.2</v>
      </c>
      <c r="H99" s="3" t="n">
        <v>6491.9</v>
      </c>
      <c r="I99" s="4" t="n">
        <v>13.8512</v>
      </c>
      <c r="J99" s="4" t="n">
        <v>8.7783</v>
      </c>
      <c r="K99" s="4" t="n">
        <v>14.2984</v>
      </c>
      <c r="L99" s="4" t="n">
        <v>14.3268</v>
      </c>
      <c r="M99" s="5" t="n">
        <v>0</v>
      </c>
      <c r="N99" s="5" t="n">
        <v>0</v>
      </c>
      <c r="O99" s="5" t="n">
        <v>1</v>
      </c>
      <c r="P99" s="5" t="n">
        <v>0</v>
      </c>
    </row>
    <row r="100" customFormat="false" ht="15" hidden="false" customHeight="false" outlineLevel="0" collapsed="false">
      <c r="A100" s="2" t="s">
        <v>58</v>
      </c>
      <c r="B100" s="2" t="s">
        <v>59</v>
      </c>
      <c r="C100" s="2" t="s">
        <v>42</v>
      </c>
      <c r="D100" s="2" t="s">
        <v>43</v>
      </c>
      <c r="E100" s="3" t="n">
        <v>378506.7</v>
      </c>
      <c r="F100" s="3" t="n">
        <v>639613.9</v>
      </c>
      <c r="G100" s="3" t="n">
        <v>1667510.2</v>
      </c>
      <c r="H100" s="3" t="n">
        <v>5612.6</v>
      </c>
      <c r="I100" s="4" t="n">
        <v>12.844</v>
      </c>
      <c r="J100" s="4" t="n">
        <v>8.6328</v>
      </c>
      <c r="K100" s="4" t="n">
        <v>13.3686</v>
      </c>
      <c r="L100" s="4" t="n">
        <v>14.3268</v>
      </c>
      <c r="M100" s="5" t="n">
        <v>0</v>
      </c>
      <c r="N100" s="5" t="n">
        <v>0</v>
      </c>
      <c r="O100" s="5" t="n">
        <v>0</v>
      </c>
      <c r="P100" s="5" t="n">
        <v>0</v>
      </c>
    </row>
    <row r="101" customFormat="false" ht="15" hidden="false" customHeight="false" outlineLevel="0" collapsed="false">
      <c r="A101" s="2" t="s">
        <v>20</v>
      </c>
      <c r="B101" s="2" t="s">
        <v>21</v>
      </c>
      <c r="C101" s="2" t="s">
        <v>60</v>
      </c>
      <c r="D101" s="2" t="s">
        <v>61</v>
      </c>
      <c r="E101" s="3" t="n">
        <v>521071.2</v>
      </c>
      <c r="F101" s="3" t="n">
        <v>554078.6</v>
      </c>
      <c r="G101" s="3" t="n">
        <v>442183.8</v>
      </c>
      <c r="H101" s="3" t="n">
        <v>6924.6</v>
      </c>
      <c r="I101" s="4" t="n">
        <v>13.1636</v>
      </c>
      <c r="J101" s="4" t="n">
        <v>8.8428</v>
      </c>
      <c r="K101" s="4" t="n">
        <v>13.2251</v>
      </c>
      <c r="L101" s="4" t="n">
        <v>12.9995</v>
      </c>
      <c r="M101" s="5" t="n">
        <v>0</v>
      </c>
      <c r="N101" s="5" t="n">
        <v>0</v>
      </c>
      <c r="O101" s="5" t="n">
        <v>0</v>
      </c>
      <c r="P101" s="5" t="n">
        <v>0</v>
      </c>
    </row>
    <row r="102" customFormat="false" ht="15" hidden="false" customHeight="false" outlineLevel="0" collapsed="false">
      <c r="A102" s="2" t="s">
        <v>78</v>
      </c>
      <c r="B102" s="2" t="s">
        <v>79</v>
      </c>
      <c r="C102" s="2" t="s">
        <v>60</v>
      </c>
      <c r="D102" s="2" t="s">
        <v>61</v>
      </c>
      <c r="E102" s="3" t="n">
        <v>1261348.2</v>
      </c>
      <c r="F102" s="3" t="n">
        <v>5162353.5</v>
      </c>
      <c r="G102" s="3" t="n">
        <v>442183.8</v>
      </c>
      <c r="H102" s="3" t="n">
        <v>8196.8</v>
      </c>
      <c r="I102" s="4" t="n">
        <v>14.0477</v>
      </c>
      <c r="J102" s="4" t="n">
        <v>9.0115</v>
      </c>
      <c r="K102" s="4" t="n">
        <v>15.4569</v>
      </c>
      <c r="L102" s="4" t="n">
        <v>12.9995</v>
      </c>
      <c r="M102" s="5" t="n">
        <v>0</v>
      </c>
      <c r="N102" s="5" t="n">
        <v>0</v>
      </c>
      <c r="O102" s="5" t="n">
        <v>0</v>
      </c>
      <c r="P102" s="5" t="n">
        <v>0</v>
      </c>
    </row>
    <row r="103" customFormat="false" ht="15" hidden="false" customHeight="false" outlineLevel="0" collapsed="false">
      <c r="A103" s="2" t="s">
        <v>66</v>
      </c>
      <c r="B103" s="2" t="s">
        <v>67</v>
      </c>
      <c r="C103" s="2" t="s">
        <v>40</v>
      </c>
      <c r="D103" s="2" t="s">
        <v>41</v>
      </c>
      <c r="E103" s="3" t="n">
        <v>1488329.3</v>
      </c>
      <c r="F103" s="3" t="n">
        <v>2905474.5</v>
      </c>
      <c r="G103" s="3" t="n">
        <v>558580.2</v>
      </c>
      <c r="H103" s="3" t="n">
        <v>8982.3</v>
      </c>
      <c r="I103" s="4" t="n">
        <v>14.2132</v>
      </c>
      <c r="J103" s="4" t="n">
        <v>9.103</v>
      </c>
      <c r="K103" s="4" t="n">
        <v>14.8821</v>
      </c>
      <c r="L103" s="4" t="n">
        <v>13.2332</v>
      </c>
      <c r="M103" s="5" t="n">
        <v>0</v>
      </c>
      <c r="N103" s="5" t="n">
        <v>1</v>
      </c>
      <c r="O103" s="5" t="n">
        <v>0</v>
      </c>
      <c r="P103" s="5" t="n">
        <v>0</v>
      </c>
    </row>
    <row r="104" customFormat="false" ht="15" hidden="false" customHeight="false" outlineLevel="0" collapsed="false">
      <c r="A104" s="2" t="s">
        <v>24</v>
      </c>
      <c r="B104" s="2" t="s">
        <v>25</v>
      </c>
      <c r="C104" s="2" t="s">
        <v>91</v>
      </c>
      <c r="D104" s="2" t="s">
        <v>92</v>
      </c>
      <c r="E104" s="3" t="n">
        <v>263285.8</v>
      </c>
      <c r="F104" s="3" t="n">
        <v>476003.9</v>
      </c>
      <c r="G104" s="3" t="n">
        <v>634618.4</v>
      </c>
      <c r="H104" s="3" t="n">
        <v>8741.4</v>
      </c>
      <c r="I104" s="4" t="n">
        <v>12.481</v>
      </c>
      <c r="J104" s="4" t="n">
        <v>9.0758</v>
      </c>
      <c r="K104" s="4" t="n">
        <v>13.0732</v>
      </c>
      <c r="L104" s="4" t="n">
        <v>13.3608</v>
      </c>
      <c r="M104" s="5" t="n">
        <v>0</v>
      </c>
      <c r="N104" s="5" t="n">
        <v>0</v>
      </c>
      <c r="O104" s="5" t="n">
        <v>1</v>
      </c>
      <c r="P104" s="5" t="n">
        <v>0</v>
      </c>
    </row>
    <row r="105" customFormat="false" ht="15" hidden="false" customHeight="false" outlineLevel="0" collapsed="false">
      <c r="A105" s="2" t="s">
        <v>34</v>
      </c>
      <c r="B105" s="2" t="s">
        <v>35</v>
      </c>
      <c r="C105" s="2" t="s">
        <v>85</v>
      </c>
      <c r="D105" s="2" t="s">
        <v>86</v>
      </c>
      <c r="E105" s="3" t="n">
        <v>2021795</v>
      </c>
      <c r="F105" s="3" t="n">
        <v>1102635</v>
      </c>
      <c r="G105" s="3" t="n">
        <v>672752.5</v>
      </c>
      <c r="H105" s="3" t="n">
        <v>9257.5</v>
      </c>
      <c r="I105" s="4" t="n">
        <v>14.5195</v>
      </c>
      <c r="J105" s="4" t="n">
        <v>9.1332</v>
      </c>
      <c r="K105" s="4" t="n">
        <v>13.9132</v>
      </c>
      <c r="L105" s="4" t="n">
        <v>13.4191</v>
      </c>
      <c r="M105" s="5" t="n">
        <v>0</v>
      </c>
      <c r="N105" s="5" t="n">
        <v>1</v>
      </c>
      <c r="O105" s="5" t="n">
        <v>0</v>
      </c>
      <c r="P105" s="5" t="n">
        <v>0</v>
      </c>
    </row>
    <row r="106" customFormat="false" ht="15" hidden="false" customHeight="false" outlineLevel="0" collapsed="false">
      <c r="A106" s="2" t="s">
        <v>40</v>
      </c>
      <c r="B106" s="2" t="s">
        <v>41</v>
      </c>
      <c r="C106" s="2" t="s">
        <v>20</v>
      </c>
      <c r="D106" s="2" t="s">
        <v>21</v>
      </c>
      <c r="E106" s="3" t="n">
        <v>129379.7</v>
      </c>
      <c r="F106" s="3" t="n">
        <v>558580.2</v>
      </c>
      <c r="G106" s="3" t="n">
        <v>554078.6</v>
      </c>
      <c r="H106" s="3" t="n">
        <v>7608.1</v>
      </c>
      <c r="I106" s="4" t="n">
        <v>11.7705</v>
      </c>
      <c r="J106" s="4" t="n">
        <v>8.937</v>
      </c>
      <c r="K106" s="4" t="n">
        <v>13.2332</v>
      </c>
      <c r="L106" s="4" t="n">
        <v>13.2251</v>
      </c>
      <c r="M106" s="5" t="n">
        <v>0</v>
      </c>
      <c r="N106" s="5" t="n">
        <v>1</v>
      </c>
      <c r="O106" s="5" t="n">
        <v>0</v>
      </c>
      <c r="P106" s="5" t="n">
        <v>0</v>
      </c>
    </row>
    <row r="107" customFormat="false" ht="15" hidden="false" customHeight="false" outlineLevel="0" collapsed="false">
      <c r="A107" s="2" t="s">
        <v>78</v>
      </c>
      <c r="B107" s="2" t="s">
        <v>79</v>
      </c>
      <c r="C107" s="2" t="s">
        <v>54</v>
      </c>
      <c r="D107" s="2" t="s">
        <v>55</v>
      </c>
      <c r="E107" s="3" t="n">
        <v>17883065.7</v>
      </c>
      <c r="F107" s="3" t="n">
        <v>5162353.5</v>
      </c>
      <c r="G107" s="3" t="n">
        <v>4042900.2</v>
      </c>
      <c r="H107" s="3" t="n">
        <v>9104.2</v>
      </c>
      <c r="I107" s="4" t="n">
        <v>16.6994</v>
      </c>
      <c r="J107" s="4" t="n">
        <v>9.1165</v>
      </c>
      <c r="K107" s="4" t="n">
        <v>15.4569</v>
      </c>
      <c r="L107" s="4" t="n">
        <v>15.2125</v>
      </c>
      <c r="M107" s="5" t="n">
        <v>0</v>
      </c>
      <c r="N107" s="5" t="n">
        <v>0</v>
      </c>
      <c r="O107" s="5" t="n">
        <v>0</v>
      </c>
      <c r="P107" s="5" t="n">
        <v>0</v>
      </c>
    </row>
    <row r="108" customFormat="false" ht="15" hidden="false" customHeight="false" outlineLevel="0" collapsed="false">
      <c r="A108" s="2" t="s">
        <v>32</v>
      </c>
      <c r="B108" s="2" t="s">
        <v>33</v>
      </c>
      <c r="C108" s="2" t="s">
        <v>26</v>
      </c>
      <c r="D108" s="2" t="s">
        <v>27</v>
      </c>
      <c r="E108" s="3" t="n">
        <v>39938586.6</v>
      </c>
      <c r="F108" s="3" t="n">
        <v>17797724</v>
      </c>
      <c r="G108" s="3" t="n">
        <v>2689070</v>
      </c>
      <c r="H108" s="3" t="n">
        <v>8907.6</v>
      </c>
      <c r="I108" s="4" t="n">
        <v>17.5029</v>
      </c>
      <c r="J108" s="4" t="n">
        <v>9.0947</v>
      </c>
      <c r="K108" s="4" t="n">
        <v>16.6946</v>
      </c>
      <c r="L108" s="4" t="n">
        <v>14.8047</v>
      </c>
      <c r="M108" s="5" t="n">
        <v>0</v>
      </c>
      <c r="N108" s="5" t="n">
        <v>0</v>
      </c>
      <c r="O108" s="5" t="n">
        <v>0</v>
      </c>
      <c r="P108" s="5" t="n">
        <v>0</v>
      </c>
    </row>
    <row r="109" customFormat="false" ht="15" hidden="false" customHeight="false" outlineLevel="0" collapsed="false">
      <c r="A109" s="2" t="s">
        <v>48</v>
      </c>
      <c r="B109" s="2" t="s">
        <v>49</v>
      </c>
      <c r="C109" s="2" t="s">
        <v>72</v>
      </c>
      <c r="D109" s="2" t="s">
        <v>73</v>
      </c>
      <c r="E109" s="3" t="n">
        <v>7971.3</v>
      </c>
      <c r="F109" s="3" t="n">
        <v>1103773.9</v>
      </c>
      <c r="G109" s="3" t="n">
        <v>800424.5</v>
      </c>
      <c r="H109" s="3" t="n">
        <v>9414.9</v>
      </c>
      <c r="I109" s="4" t="n">
        <v>8.9836</v>
      </c>
      <c r="J109" s="4" t="n">
        <v>9.1501</v>
      </c>
      <c r="K109" s="4" t="n">
        <v>13.9142</v>
      </c>
      <c r="L109" s="4" t="n">
        <v>13.5929</v>
      </c>
      <c r="M109" s="5" t="n">
        <v>0</v>
      </c>
      <c r="N109" s="5" t="n">
        <v>1</v>
      </c>
      <c r="O109" s="5" t="n">
        <v>0</v>
      </c>
      <c r="P109" s="5" t="n">
        <v>0</v>
      </c>
    </row>
    <row r="110" customFormat="false" ht="15" hidden="false" customHeight="false" outlineLevel="0" collapsed="false">
      <c r="A110" s="2" t="s">
        <v>46</v>
      </c>
      <c r="B110" s="2" t="s">
        <v>47</v>
      </c>
      <c r="C110" s="2" t="s">
        <v>36</v>
      </c>
      <c r="D110" s="2" t="s">
        <v>37</v>
      </c>
      <c r="E110" s="3" t="n">
        <v>188204.5</v>
      </c>
      <c r="F110" s="3" t="n">
        <v>2741298</v>
      </c>
      <c r="G110" s="3" t="n">
        <v>611053.3</v>
      </c>
      <c r="H110" s="3" t="n">
        <v>7997.3</v>
      </c>
      <c r="I110" s="4" t="n">
        <v>12.1453</v>
      </c>
      <c r="J110" s="4" t="n">
        <v>8.9869</v>
      </c>
      <c r="K110" s="4" t="n">
        <v>14.8239</v>
      </c>
      <c r="L110" s="4" t="n">
        <v>13.3229</v>
      </c>
      <c r="M110" s="5" t="n">
        <v>0</v>
      </c>
      <c r="N110" s="5" t="n">
        <v>0</v>
      </c>
      <c r="O110" s="5" t="n">
        <v>0</v>
      </c>
      <c r="P110" s="5" t="n">
        <v>0</v>
      </c>
    </row>
    <row r="111" customFormat="false" ht="15" hidden="false" customHeight="false" outlineLevel="0" collapsed="false">
      <c r="A111" s="2" t="s">
        <v>42</v>
      </c>
      <c r="B111" s="2" t="s">
        <v>43</v>
      </c>
      <c r="C111" s="2" t="s">
        <v>70</v>
      </c>
      <c r="D111" s="2" t="s">
        <v>71</v>
      </c>
      <c r="E111" s="3" t="n">
        <v>1403365.5</v>
      </c>
      <c r="F111" s="3" t="n">
        <v>1667510.2</v>
      </c>
      <c r="G111" s="3" t="n">
        <v>8411253</v>
      </c>
      <c r="H111" s="3" t="n">
        <v>7784.5</v>
      </c>
      <c r="I111" s="4" t="n">
        <v>14.1544</v>
      </c>
      <c r="J111" s="4" t="n">
        <v>8.9599</v>
      </c>
      <c r="K111" s="4" t="n">
        <v>14.3268</v>
      </c>
      <c r="L111" s="4" t="n">
        <v>15.9451</v>
      </c>
      <c r="M111" s="5" t="n">
        <v>0</v>
      </c>
      <c r="N111" s="5" t="n">
        <v>0</v>
      </c>
      <c r="O111" s="5" t="n">
        <v>0</v>
      </c>
      <c r="P111" s="5" t="n">
        <v>0</v>
      </c>
    </row>
    <row r="112" customFormat="false" ht="15" hidden="false" customHeight="false" outlineLevel="0" collapsed="false">
      <c r="A112" s="2" t="s">
        <v>22</v>
      </c>
      <c r="B112" s="2" t="s">
        <v>23</v>
      </c>
      <c r="C112" s="2" t="s">
        <v>62</v>
      </c>
      <c r="D112" s="2" t="s">
        <v>63</v>
      </c>
      <c r="E112" s="3" t="n">
        <v>7096168.6</v>
      </c>
      <c r="F112" s="3" t="n">
        <v>569957.4</v>
      </c>
      <c r="G112" s="3" t="n">
        <v>848082.2</v>
      </c>
      <c r="H112" s="3" t="n">
        <v>9457.4</v>
      </c>
      <c r="I112" s="4" t="n">
        <v>15.7751</v>
      </c>
      <c r="J112" s="4" t="n">
        <v>9.1545</v>
      </c>
      <c r="K112" s="4" t="n">
        <v>13.2533</v>
      </c>
      <c r="L112" s="4" t="n">
        <v>13.6507</v>
      </c>
      <c r="M112" s="5" t="n">
        <v>0</v>
      </c>
      <c r="N112" s="5" t="n">
        <v>0</v>
      </c>
      <c r="O112" s="5" t="n">
        <v>0</v>
      </c>
      <c r="P112" s="5" t="n">
        <v>0</v>
      </c>
    </row>
    <row r="113" customFormat="false" ht="15" hidden="false" customHeight="false" outlineLevel="0" collapsed="false">
      <c r="A113" s="2" t="s">
        <v>66</v>
      </c>
      <c r="B113" s="2" t="s">
        <v>67</v>
      </c>
      <c r="C113" s="2" t="s">
        <v>18</v>
      </c>
      <c r="D113" s="2" t="s">
        <v>19</v>
      </c>
      <c r="E113" s="3" t="n">
        <v>2611286.2</v>
      </c>
      <c r="F113" s="3" t="n">
        <v>2905474.5</v>
      </c>
      <c r="G113" s="3" t="n">
        <v>2625843.8</v>
      </c>
      <c r="H113" s="3" t="n">
        <v>8948.2</v>
      </c>
      <c r="I113" s="4" t="n">
        <v>14.7754</v>
      </c>
      <c r="J113" s="4" t="n">
        <v>9.0992</v>
      </c>
      <c r="K113" s="4" t="n">
        <v>14.8821</v>
      </c>
      <c r="L113" s="4" t="n">
        <v>14.7809</v>
      </c>
      <c r="M113" s="5" t="n">
        <v>0</v>
      </c>
      <c r="N113" s="5" t="n">
        <v>1</v>
      </c>
      <c r="O113" s="5" t="n">
        <v>0</v>
      </c>
      <c r="P113" s="5" t="n">
        <v>0</v>
      </c>
    </row>
    <row r="114" customFormat="false" ht="15" hidden="false" customHeight="false" outlineLevel="0" collapsed="false">
      <c r="A114" s="2" t="s">
        <v>34</v>
      </c>
      <c r="B114" s="2" t="s">
        <v>35</v>
      </c>
      <c r="C114" s="2" t="s">
        <v>82</v>
      </c>
      <c r="D114" s="2" t="s">
        <v>83</v>
      </c>
      <c r="E114" s="3" t="n">
        <v>286986.3</v>
      </c>
      <c r="F114" s="3" t="n">
        <v>1102635</v>
      </c>
      <c r="G114" s="3" t="n">
        <v>822121.3</v>
      </c>
      <c r="H114" s="3" t="n">
        <v>10252.1</v>
      </c>
      <c r="I114" s="4" t="n">
        <v>12.5672</v>
      </c>
      <c r="J114" s="4" t="n">
        <v>9.2352</v>
      </c>
      <c r="K114" s="4" t="n">
        <v>13.9132</v>
      </c>
      <c r="L114" s="4" t="n">
        <v>13.6196</v>
      </c>
      <c r="M114" s="5" t="n">
        <v>0</v>
      </c>
      <c r="N114" s="5" t="n">
        <v>1</v>
      </c>
      <c r="O114" s="5" t="n">
        <v>0</v>
      </c>
      <c r="P114" s="5" t="n">
        <v>0</v>
      </c>
    </row>
    <row r="115" customFormat="false" ht="15" hidden="false" customHeight="false" outlineLevel="0" collapsed="false">
      <c r="A115" s="2" t="s">
        <v>80</v>
      </c>
      <c r="B115" s="2" t="s">
        <v>81</v>
      </c>
      <c r="C115" s="2" t="s">
        <v>56</v>
      </c>
      <c r="D115" s="2" t="s">
        <v>57</v>
      </c>
      <c r="E115" s="3" t="n">
        <v>515433.3</v>
      </c>
      <c r="F115" s="3" t="n">
        <v>1620789.4</v>
      </c>
      <c r="G115" s="3" t="n">
        <v>3331626.2</v>
      </c>
      <c r="H115" s="3" t="n">
        <v>7868.6</v>
      </c>
      <c r="I115" s="4" t="n">
        <v>13.1528</v>
      </c>
      <c r="J115" s="4" t="n">
        <v>8.9706</v>
      </c>
      <c r="K115" s="4" t="n">
        <v>14.2984</v>
      </c>
      <c r="L115" s="4" t="n">
        <v>15.019</v>
      </c>
      <c r="M115" s="5" t="n">
        <v>0</v>
      </c>
      <c r="N115" s="5" t="n">
        <v>0</v>
      </c>
      <c r="O115" s="5" t="n">
        <v>0</v>
      </c>
      <c r="P115" s="5" t="n">
        <v>0</v>
      </c>
    </row>
    <row r="116" customFormat="false" ht="15" hidden="false" customHeight="false" outlineLevel="0" collapsed="false">
      <c r="A116" s="2" t="s">
        <v>26</v>
      </c>
      <c r="B116" s="2" t="s">
        <v>27</v>
      </c>
      <c r="C116" s="2" t="s">
        <v>89</v>
      </c>
      <c r="D116" s="2" t="s">
        <v>90</v>
      </c>
      <c r="E116" s="3" t="n">
        <v>3092211.6</v>
      </c>
      <c r="F116" s="3" t="n">
        <v>2689070</v>
      </c>
      <c r="G116" s="3" t="n">
        <v>2288709</v>
      </c>
      <c r="H116" s="3" t="n">
        <v>9223.2</v>
      </c>
      <c r="I116" s="4" t="n">
        <v>14.9444</v>
      </c>
      <c r="J116" s="4" t="n">
        <v>9.1295</v>
      </c>
      <c r="K116" s="4" t="n">
        <v>14.8047</v>
      </c>
      <c r="L116" s="4" t="n">
        <v>14.6435</v>
      </c>
      <c r="M116" s="5" t="n">
        <v>0</v>
      </c>
      <c r="N116" s="5" t="n">
        <v>0</v>
      </c>
      <c r="O116" s="5" t="n">
        <v>1</v>
      </c>
      <c r="P116" s="5" t="n">
        <v>0</v>
      </c>
    </row>
    <row r="117" customFormat="false" ht="15" hidden="false" customHeight="false" outlineLevel="0" collapsed="false">
      <c r="A117" s="2" t="s">
        <v>34</v>
      </c>
      <c r="B117" s="2" t="s">
        <v>35</v>
      </c>
      <c r="C117" s="2" t="s">
        <v>42</v>
      </c>
      <c r="D117" s="2" t="s">
        <v>43</v>
      </c>
      <c r="E117" s="3" t="n">
        <v>1078704.2</v>
      </c>
      <c r="F117" s="3" t="n">
        <v>1102635</v>
      </c>
      <c r="G117" s="3" t="n">
        <v>1667510.2</v>
      </c>
      <c r="H117" s="3" t="n">
        <v>10159</v>
      </c>
      <c r="I117" s="4" t="n">
        <v>13.8913</v>
      </c>
      <c r="J117" s="4" t="n">
        <v>9.2261</v>
      </c>
      <c r="K117" s="4" t="n">
        <v>13.9132</v>
      </c>
      <c r="L117" s="4" t="n">
        <v>14.3268</v>
      </c>
      <c r="M117" s="5" t="n">
        <v>0</v>
      </c>
      <c r="N117" s="5" t="n">
        <v>0</v>
      </c>
      <c r="O117" s="5" t="n">
        <v>0</v>
      </c>
      <c r="P117" s="5" t="n">
        <v>0</v>
      </c>
    </row>
    <row r="118" customFormat="false" ht="15" hidden="false" customHeight="false" outlineLevel="0" collapsed="false">
      <c r="A118" s="2" t="s">
        <v>58</v>
      </c>
      <c r="B118" s="2" t="s">
        <v>59</v>
      </c>
      <c r="C118" s="2" t="s">
        <v>78</v>
      </c>
      <c r="D118" s="2" t="s">
        <v>79</v>
      </c>
      <c r="E118" s="3" t="n">
        <v>15259892.5</v>
      </c>
      <c r="F118" s="3" t="n">
        <v>639613.9</v>
      </c>
      <c r="G118" s="3" t="n">
        <v>5162353.5</v>
      </c>
      <c r="H118" s="3" t="n">
        <v>7755.1</v>
      </c>
      <c r="I118" s="4" t="n">
        <v>16.5407</v>
      </c>
      <c r="J118" s="4" t="n">
        <v>8.9561</v>
      </c>
      <c r="K118" s="4" t="n">
        <v>13.3686</v>
      </c>
      <c r="L118" s="4" t="n">
        <v>15.4569</v>
      </c>
      <c r="M118" s="5" t="n">
        <v>0</v>
      </c>
      <c r="N118" s="5" t="n">
        <v>0</v>
      </c>
      <c r="O118" s="5" t="n">
        <v>0</v>
      </c>
      <c r="P118" s="5" t="n">
        <v>0</v>
      </c>
    </row>
    <row r="119" customFormat="false" ht="15" hidden="false" customHeight="false" outlineLevel="0" collapsed="false">
      <c r="A119" s="2" t="s">
        <v>44</v>
      </c>
      <c r="B119" s="2" t="s">
        <v>45</v>
      </c>
      <c r="C119" s="2" t="s">
        <v>34</v>
      </c>
      <c r="D119" s="2" t="s">
        <v>35</v>
      </c>
      <c r="E119" s="3" t="n">
        <v>106200.2</v>
      </c>
      <c r="F119" s="3" t="n">
        <v>485827</v>
      </c>
      <c r="G119" s="3" t="n">
        <v>1102635</v>
      </c>
      <c r="H119" s="3" t="n">
        <v>7780.9</v>
      </c>
      <c r="I119" s="4" t="n">
        <v>11.5731</v>
      </c>
      <c r="J119" s="4" t="n">
        <v>8.9594</v>
      </c>
      <c r="K119" s="4" t="n">
        <v>13.0936</v>
      </c>
      <c r="L119" s="4" t="n">
        <v>13.9132</v>
      </c>
      <c r="M119" s="5" t="n">
        <v>0</v>
      </c>
      <c r="N119" s="5" t="n">
        <v>0</v>
      </c>
      <c r="O119" s="5" t="n">
        <v>0</v>
      </c>
      <c r="P119" s="5" t="n">
        <v>0</v>
      </c>
    </row>
    <row r="120" customFormat="false" ht="15" hidden="false" customHeight="false" outlineLevel="0" collapsed="false">
      <c r="A120" s="2" t="s">
        <v>85</v>
      </c>
      <c r="B120" s="2" t="s">
        <v>86</v>
      </c>
      <c r="C120" s="2" t="s">
        <v>16</v>
      </c>
      <c r="D120" s="2" t="s">
        <v>17</v>
      </c>
      <c r="E120" s="3" t="n">
        <v>1281893.9</v>
      </c>
      <c r="F120" s="3" t="n">
        <v>672752.5</v>
      </c>
      <c r="G120" s="3" t="n">
        <v>2270468</v>
      </c>
      <c r="H120" s="3" t="n">
        <v>8138.6</v>
      </c>
      <c r="I120" s="4" t="n">
        <v>14.0638</v>
      </c>
      <c r="J120" s="4" t="n">
        <v>9.0044</v>
      </c>
      <c r="K120" s="4" t="n">
        <v>13.4191</v>
      </c>
      <c r="L120" s="4" t="n">
        <v>14.6355</v>
      </c>
      <c r="M120" s="5" t="n">
        <v>0</v>
      </c>
      <c r="N120" s="5" t="n">
        <v>0</v>
      </c>
      <c r="O120" s="5" t="n">
        <v>1</v>
      </c>
      <c r="P120" s="5" t="n">
        <v>0</v>
      </c>
    </row>
    <row r="121" customFormat="false" ht="15" hidden="false" customHeight="false" outlineLevel="0" collapsed="false">
      <c r="A121" s="2" t="s">
        <v>54</v>
      </c>
      <c r="B121" s="2" t="s">
        <v>55</v>
      </c>
      <c r="C121" s="2" t="s">
        <v>22</v>
      </c>
      <c r="D121" s="2" t="s">
        <v>23</v>
      </c>
      <c r="E121" s="3" t="n">
        <v>3404628.8</v>
      </c>
      <c r="F121" s="3" t="n">
        <v>4042900.2</v>
      </c>
      <c r="G121" s="3" t="n">
        <v>569957.4</v>
      </c>
      <c r="H121" s="3" t="n">
        <v>9179.4</v>
      </c>
      <c r="I121" s="4" t="n">
        <v>15.0406</v>
      </c>
      <c r="J121" s="4" t="n">
        <v>9.1247</v>
      </c>
      <c r="K121" s="4" t="n">
        <v>15.2125</v>
      </c>
      <c r="L121" s="4" t="n">
        <v>13.2533</v>
      </c>
      <c r="M121" s="5" t="n">
        <v>0</v>
      </c>
      <c r="N121" s="5" t="n">
        <v>0</v>
      </c>
      <c r="O121" s="5" t="n">
        <v>0</v>
      </c>
      <c r="P121" s="5" t="n">
        <v>0</v>
      </c>
    </row>
    <row r="122" customFormat="false" ht="15" hidden="false" customHeight="false" outlineLevel="0" collapsed="false">
      <c r="A122" s="2" t="s">
        <v>87</v>
      </c>
      <c r="B122" s="2" t="s">
        <v>88</v>
      </c>
      <c r="C122" s="2" t="s">
        <v>70</v>
      </c>
      <c r="D122" s="2" t="s">
        <v>71</v>
      </c>
      <c r="E122" s="3" t="n">
        <v>11338708.3</v>
      </c>
      <c r="F122" s="3" t="n">
        <v>1177003.4</v>
      </c>
      <c r="G122" s="3" t="n">
        <v>8411253</v>
      </c>
      <c r="H122" s="3" t="n">
        <v>9372</v>
      </c>
      <c r="I122" s="4" t="n">
        <v>16.2437</v>
      </c>
      <c r="J122" s="4" t="n">
        <v>9.1455</v>
      </c>
      <c r="K122" s="4" t="n">
        <v>13.9785</v>
      </c>
      <c r="L122" s="4" t="n">
        <v>15.9451</v>
      </c>
      <c r="M122" s="5" t="n">
        <v>0</v>
      </c>
      <c r="N122" s="5" t="n">
        <v>1</v>
      </c>
      <c r="O122" s="5" t="n">
        <v>0</v>
      </c>
      <c r="P122" s="5" t="n">
        <v>0</v>
      </c>
    </row>
    <row r="123" customFormat="false" ht="15" hidden="false" customHeight="false" outlineLevel="0" collapsed="false">
      <c r="A123" s="2" t="s">
        <v>36</v>
      </c>
      <c r="B123" s="2" t="s">
        <v>37</v>
      </c>
      <c r="C123" s="2" t="s">
        <v>78</v>
      </c>
      <c r="D123" s="2" t="s">
        <v>79</v>
      </c>
      <c r="E123" s="3" t="n">
        <v>159571.8</v>
      </c>
      <c r="F123" s="3" t="n">
        <v>611053.3</v>
      </c>
      <c r="G123" s="3" t="n">
        <v>5162353.5</v>
      </c>
      <c r="H123" s="3" t="n">
        <v>8137.1</v>
      </c>
      <c r="I123" s="4" t="n">
        <v>11.9802</v>
      </c>
      <c r="J123" s="4" t="n">
        <v>9.0042</v>
      </c>
      <c r="K123" s="4" t="n">
        <v>13.3229</v>
      </c>
      <c r="L123" s="4" t="n">
        <v>15.4569</v>
      </c>
      <c r="M123" s="5" t="n">
        <v>0</v>
      </c>
      <c r="N123" s="5" t="n">
        <v>0</v>
      </c>
      <c r="O123" s="5" t="n">
        <v>0</v>
      </c>
      <c r="P123" s="5" t="n">
        <v>0</v>
      </c>
    </row>
    <row r="124" customFormat="false" ht="15" hidden="false" customHeight="false" outlineLevel="0" collapsed="false">
      <c r="A124" s="2" t="s">
        <v>32</v>
      </c>
      <c r="B124" s="2" t="s">
        <v>33</v>
      </c>
      <c r="C124" s="2" t="s">
        <v>54</v>
      </c>
      <c r="D124" s="2" t="s">
        <v>55</v>
      </c>
      <c r="E124" s="3" t="n">
        <v>103196270.5</v>
      </c>
      <c r="F124" s="3" t="n">
        <v>17797724</v>
      </c>
      <c r="G124" s="3" t="n">
        <v>4042900.2</v>
      </c>
      <c r="H124" s="3" t="n">
        <v>8131.7</v>
      </c>
      <c r="I124" s="4" t="n">
        <v>18.4521</v>
      </c>
      <c r="J124" s="4" t="n">
        <v>9.0035</v>
      </c>
      <c r="K124" s="4" t="n">
        <v>16.6946</v>
      </c>
      <c r="L124" s="4" t="n">
        <v>15.2125</v>
      </c>
      <c r="M124" s="5" t="n">
        <v>0</v>
      </c>
      <c r="N124" s="5" t="n">
        <v>0</v>
      </c>
      <c r="O124" s="5" t="n">
        <v>0</v>
      </c>
      <c r="P124" s="5" t="n">
        <v>0</v>
      </c>
    </row>
    <row r="125" customFormat="false" ht="15" hidden="false" customHeight="false" outlineLevel="0" collapsed="false">
      <c r="A125" s="2" t="s">
        <v>72</v>
      </c>
      <c r="B125" s="2" t="s">
        <v>73</v>
      </c>
      <c r="C125" s="2" t="s">
        <v>44</v>
      </c>
      <c r="D125" s="2" t="s">
        <v>45</v>
      </c>
      <c r="E125" s="3" t="n">
        <v>31412.6</v>
      </c>
      <c r="F125" s="3" t="n">
        <v>800424.5</v>
      </c>
      <c r="G125" s="3" t="n">
        <v>485827</v>
      </c>
      <c r="H125" s="3" t="n">
        <v>9536.1</v>
      </c>
      <c r="I125" s="4" t="n">
        <v>10.355</v>
      </c>
      <c r="J125" s="4" t="n">
        <v>9.1628</v>
      </c>
      <c r="K125" s="4" t="n">
        <v>13.5929</v>
      </c>
      <c r="L125" s="4" t="n">
        <v>13.0936</v>
      </c>
      <c r="M125" s="5" t="n">
        <v>0</v>
      </c>
      <c r="N125" s="5" t="n">
        <v>0</v>
      </c>
      <c r="O125" s="5" t="n">
        <v>0</v>
      </c>
      <c r="P125" s="5" t="n">
        <v>0</v>
      </c>
    </row>
    <row r="126" customFormat="false" ht="15" hidden="false" customHeight="false" outlineLevel="0" collapsed="false">
      <c r="A126" s="2" t="s">
        <v>62</v>
      </c>
      <c r="B126" s="2" t="s">
        <v>63</v>
      </c>
      <c r="C126" s="2" t="s">
        <v>85</v>
      </c>
      <c r="D126" s="2" t="s">
        <v>86</v>
      </c>
      <c r="E126" s="3" t="n">
        <v>1433179.8</v>
      </c>
      <c r="F126" s="3" t="n">
        <v>848082.2</v>
      </c>
      <c r="G126" s="3" t="n">
        <v>672752.5</v>
      </c>
      <c r="H126" s="3" t="n">
        <v>9289.9</v>
      </c>
      <c r="I126" s="4" t="n">
        <v>14.1754</v>
      </c>
      <c r="J126" s="4" t="n">
        <v>9.1367</v>
      </c>
      <c r="K126" s="4" t="n">
        <v>13.6507</v>
      </c>
      <c r="L126" s="4" t="n">
        <v>13.4191</v>
      </c>
      <c r="M126" s="5" t="n">
        <v>0</v>
      </c>
      <c r="N126" s="5" t="n">
        <v>0</v>
      </c>
      <c r="O126" s="5" t="n">
        <v>1</v>
      </c>
      <c r="P126" s="5" t="n">
        <v>0</v>
      </c>
    </row>
    <row r="127" customFormat="false" ht="15" hidden="false" customHeight="false" outlineLevel="0" collapsed="false">
      <c r="A127" s="2" t="s">
        <v>78</v>
      </c>
      <c r="B127" s="2" t="s">
        <v>79</v>
      </c>
      <c r="C127" s="2" t="s">
        <v>84</v>
      </c>
      <c r="D127" s="2" t="s">
        <v>84</v>
      </c>
      <c r="E127" s="3" t="n">
        <v>112674465.1</v>
      </c>
      <c r="F127" s="3" t="n">
        <v>5162353.5</v>
      </c>
      <c r="G127" s="3" t="n">
        <v>17712704</v>
      </c>
      <c r="H127" s="3" t="n">
        <v>10229</v>
      </c>
      <c r="I127" s="4" t="n">
        <v>18.54</v>
      </c>
      <c r="J127" s="4" t="n">
        <v>9.233</v>
      </c>
      <c r="K127" s="4" t="n">
        <v>15.4569</v>
      </c>
      <c r="L127" s="4" t="n">
        <v>16.6898</v>
      </c>
      <c r="M127" s="5" t="n">
        <v>0</v>
      </c>
      <c r="N127" s="5" t="n">
        <v>0</v>
      </c>
      <c r="O127" s="5" t="n">
        <v>0</v>
      </c>
      <c r="P127" s="5" t="n">
        <v>0</v>
      </c>
    </row>
    <row r="128" customFormat="false" ht="15" hidden="false" customHeight="false" outlineLevel="0" collapsed="false">
      <c r="A128" s="2" t="s">
        <v>89</v>
      </c>
      <c r="B128" s="2" t="s">
        <v>90</v>
      </c>
      <c r="C128" s="2" t="s">
        <v>16</v>
      </c>
      <c r="D128" s="2" t="s">
        <v>17</v>
      </c>
      <c r="E128" s="3" t="n">
        <v>1142412.1</v>
      </c>
      <c r="F128" s="3" t="n">
        <v>2288709</v>
      </c>
      <c r="G128" s="3" t="n">
        <v>2270468</v>
      </c>
      <c r="H128" s="3" t="n">
        <v>10076.9</v>
      </c>
      <c r="I128" s="4" t="n">
        <v>13.9487</v>
      </c>
      <c r="J128" s="4" t="n">
        <v>9.218</v>
      </c>
      <c r="K128" s="4" t="n">
        <v>14.6435</v>
      </c>
      <c r="L128" s="4" t="n">
        <v>14.6355</v>
      </c>
      <c r="M128" s="5" t="n">
        <v>0</v>
      </c>
      <c r="N128" s="5" t="n">
        <v>0</v>
      </c>
      <c r="O128" s="5" t="n">
        <v>1</v>
      </c>
      <c r="P128" s="5" t="n">
        <v>0</v>
      </c>
    </row>
    <row r="129" customFormat="false" ht="15" hidden="false" customHeight="false" outlineLevel="0" collapsed="false">
      <c r="A129" s="2" t="s">
        <v>60</v>
      </c>
      <c r="B129" s="2" t="s">
        <v>61</v>
      </c>
      <c r="C129" s="2" t="s">
        <v>52</v>
      </c>
      <c r="D129" s="2" t="s">
        <v>53</v>
      </c>
      <c r="E129" s="3" t="n">
        <v>336939.4</v>
      </c>
      <c r="F129" s="3" t="n">
        <v>442183.8</v>
      </c>
      <c r="G129" s="3" t="n">
        <v>743163.9</v>
      </c>
      <c r="H129" s="3" t="n">
        <v>9537.3</v>
      </c>
      <c r="I129" s="4" t="n">
        <v>12.7277</v>
      </c>
      <c r="J129" s="4" t="n">
        <v>9.163</v>
      </c>
      <c r="K129" s="4" t="n">
        <v>12.9995</v>
      </c>
      <c r="L129" s="4" t="n">
        <v>13.5187</v>
      </c>
      <c r="M129" s="5" t="n">
        <v>0</v>
      </c>
      <c r="N129" s="5" t="n">
        <v>0</v>
      </c>
      <c r="O129" s="5" t="n">
        <v>0</v>
      </c>
      <c r="P129" s="5" t="n">
        <v>0</v>
      </c>
    </row>
    <row r="130" customFormat="false" ht="15" hidden="false" customHeight="false" outlineLevel="0" collapsed="false">
      <c r="A130" s="2" t="s">
        <v>85</v>
      </c>
      <c r="B130" s="2" t="s">
        <v>86</v>
      </c>
      <c r="C130" s="2" t="s">
        <v>42</v>
      </c>
      <c r="D130" s="2" t="s">
        <v>43</v>
      </c>
      <c r="E130" s="3" t="n">
        <v>961237.9</v>
      </c>
      <c r="F130" s="3" t="n">
        <v>672752.5</v>
      </c>
      <c r="G130" s="3" t="n">
        <v>1667510.2</v>
      </c>
      <c r="H130" s="3" t="n">
        <v>8286.5</v>
      </c>
      <c r="I130" s="4" t="n">
        <v>13.776</v>
      </c>
      <c r="J130" s="4" t="n">
        <v>9.0224</v>
      </c>
      <c r="K130" s="4" t="n">
        <v>13.4191</v>
      </c>
      <c r="L130" s="4" t="n">
        <v>14.3268</v>
      </c>
      <c r="M130" s="5" t="n">
        <v>0</v>
      </c>
      <c r="N130" s="5" t="n">
        <v>0</v>
      </c>
      <c r="O130" s="5" t="n">
        <v>1</v>
      </c>
      <c r="P130" s="5" t="n">
        <v>0</v>
      </c>
    </row>
    <row r="131" customFormat="false" ht="15" hidden="false" customHeight="false" outlineLevel="0" collapsed="false">
      <c r="A131" s="2" t="s">
        <v>85</v>
      </c>
      <c r="B131" s="2" t="s">
        <v>86</v>
      </c>
      <c r="C131" s="2" t="s">
        <v>60</v>
      </c>
      <c r="D131" s="2" t="s">
        <v>61</v>
      </c>
      <c r="E131" s="3" t="n">
        <v>160034.2</v>
      </c>
      <c r="F131" s="3" t="n">
        <v>672752.5</v>
      </c>
      <c r="G131" s="3" t="n">
        <v>442183.8</v>
      </c>
      <c r="H131" s="3" t="n">
        <v>9854.9</v>
      </c>
      <c r="I131" s="4" t="n">
        <v>11.9831</v>
      </c>
      <c r="J131" s="4" t="n">
        <v>9.1957</v>
      </c>
      <c r="K131" s="4" t="n">
        <v>13.4191</v>
      </c>
      <c r="L131" s="4" t="n">
        <v>12.9995</v>
      </c>
      <c r="M131" s="5" t="n">
        <v>0</v>
      </c>
      <c r="N131" s="5" t="n">
        <v>0</v>
      </c>
      <c r="O131" s="5" t="n">
        <v>1</v>
      </c>
      <c r="P131" s="5" t="n">
        <v>0</v>
      </c>
    </row>
    <row r="132" customFormat="false" ht="15" hidden="false" customHeight="false" outlineLevel="0" collapsed="false">
      <c r="A132" s="2" t="s">
        <v>20</v>
      </c>
      <c r="B132" s="2" t="s">
        <v>21</v>
      </c>
      <c r="C132" s="2" t="s">
        <v>42</v>
      </c>
      <c r="D132" s="2" t="s">
        <v>43</v>
      </c>
      <c r="E132" s="3" t="n">
        <v>2951811.9</v>
      </c>
      <c r="F132" s="3" t="n">
        <v>554078.6</v>
      </c>
      <c r="G132" s="3" t="n">
        <v>1667510.2</v>
      </c>
      <c r="H132" s="3" t="n">
        <v>8647.5</v>
      </c>
      <c r="I132" s="4" t="n">
        <v>14.8979</v>
      </c>
      <c r="J132" s="4" t="n">
        <v>9.065</v>
      </c>
      <c r="K132" s="4" t="n">
        <v>13.2251</v>
      </c>
      <c r="L132" s="4" t="n">
        <v>14.3268</v>
      </c>
      <c r="M132" s="5" t="n">
        <v>0</v>
      </c>
      <c r="N132" s="5" t="n">
        <v>0</v>
      </c>
      <c r="O132" s="5" t="n">
        <v>0</v>
      </c>
      <c r="P132" s="5" t="n">
        <v>0</v>
      </c>
    </row>
    <row r="133" customFormat="false" ht="15" hidden="false" customHeight="false" outlineLevel="0" collapsed="false">
      <c r="A133" s="2" t="s">
        <v>38</v>
      </c>
      <c r="B133" s="2" t="s">
        <v>39</v>
      </c>
      <c r="C133" s="2" t="s">
        <v>89</v>
      </c>
      <c r="D133" s="2" t="s">
        <v>90</v>
      </c>
      <c r="E133" s="3" t="n">
        <v>27526.4</v>
      </c>
      <c r="F133" s="3" t="n">
        <v>522118.3</v>
      </c>
      <c r="G133" s="3" t="n">
        <v>2288709</v>
      </c>
      <c r="H133" s="3" t="n">
        <v>9817.9</v>
      </c>
      <c r="I133" s="4" t="n">
        <v>10.2229</v>
      </c>
      <c r="J133" s="4" t="n">
        <v>9.192</v>
      </c>
      <c r="K133" s="4" t="n">
        <v>13.1656</v>
      </c>
      <c r="L133" s="4" t="n">
        <v>14.6435</v>
      </c>
      <c r="M133" s="5" t="n">
        <v>0</v>
      </c>
      <c r="N133" s="5" t="n">
        <v>0</v>
      </c>
      <c r="O133" s="5" t="n">
        <v>0</v>
      </c>
      <c r="P133" s="5" t="n">
        <v>0</v>
      </c>
    </row>
    <row r="134" customFormat="false" ht="15" hidden="false" customHeight="false" outlineLevel="0" collapsed="false">
      <c r="A134" s="2" t="s">
        <v>66</v>
      </c>
      <c r="B134" s="2" t="s">
        <v>67</v>
      </c>
      <c r="C134" s="2" t="s">
        <v>30</v>
      </c>
      <c r="D134" s="2" t="s">
        <v>31</v>
      </c>
      <c r="E134" s="3" t="n">
        <v>1214612.3</v>
      </c>
      <c r="F134" s="3" t="n">
        <v>2905474.5</v>
      </c>
      <c r="G134" s="3" t="n">
        <v>1041614.3</v>
      </c>
      <c r="H134" s="3" t="n">
        <v>9976.1</v>
      </c>
      <c r="I134" s="4" t="n">
        <v>14.0099</v>
      </c>
      <c r="J134" s="4" t="n">
        <v>9.2079</v>
      </c>
      <c r="K134" s="4" t="n">
        <v>14.8821</v>
      </c>
      <c r="L134" s="4" t="n">
        <v>13.8563</v>
      </c>
      <c r="M134" s="5" t="n">
        <v>0</v>
      </c>
      <c r="N134" s="5" t="n">
        <v>0</v>
      </c>
      <c r="O134" s="5" t="n">
        <v>0</v>
      </c>
      <c r="P134" s="5" t="n">
        <v>0</v>
      </c>
    </row>
    <row r="135" customFormat="false" ht="15" hidden="false" customHeight="false" outlineLevel="0" collapsed="false">
      <c r="A135" s="2" t="s">
        <v>85</v>
      </c>
      <c r="B135" s="2" t="s">
        <v>86</v>
      </c>
      <c r="C135" s="2" t="s">
        <v>46</v>
      </c>
      <c r="D135" s="2" t="s">
        <v>47</v>
      </c>
      <c r="E135" s="3" t="n">
        <v>531263.7</v>
      </c>
      <c r="F135" s="3" t="n">
        <v>672752.5</v>
      </c>
      <c r="G135" s="3" t="n">
        <v>2741298</v>
      </c>
      <c r="H135" s="3" t="n">
        <v>9035.2</v>
      </c>
      <c r="I135" s="4" t="n">
        <v>13.183</v>
      </c>
      <c r="J135" s="4" t="n">
        <v>9.1089</v>
      </c>
      <c r="K135" s="4" t="n">
        <v>13.4191</v>
      </c>
      <c r="L135" s="4" t="n">
        <v>14.8239</v>
      </c>
      <c r="M135" s="5" t="n">
        <v>0</v>
      </c>
      <c r="N135" s="5" t="n">
        <v>1</v>
      </c>
      <c r="O135" s="5" t="n">
        <v>0</v>
      </c>
      <c r="P135" s="5" t="n">
        <v>0</v>
      </c>
    </row>
    <row r="136" customFormat="false" ht="15" hidden="false" customHeight="false" outlineLevel="0" collapsed="false">
      <c r="A136" s="2" t="s">
        <v>76</v>
      </c>
      <c r="B136" s="2" t="s">
        <v>77</v>
      </c>
      <c r="C136" s="2" t="s">
        <v>87</v>
      </c>
      <c r="D136" s="2" t="s">
        <v>88</v>
      </c>
      <c r="E136" s="3" t="n">
        <v>6385058.4</v>
      </c>
      <c r="F136" s="3" t="n">
        <v>1873959.5</v>
      </c>
      <c r="G136" s="3" t="n">
        <v>1177003.4</v>
      </c>
      <c r="H136" s="3" t="n">
        <v>8026.6</v>
      </c>
      <c r="I136" s="4" t="n">
        <v>15.6695</v>
      </c>
      <c r="J136" s="4" t="n">
        <v>8.9905</v>
      </c>
      <c r="K136" s="4" t="n">
        <v>14.4436</v>
      </c>
      <c r="L136" s="4" t="n">
        <v>13.9785</v>
      </c>
      <c r="M136" s="5" t="n">
        <v>0</v>
      </c>
      <c r="N136" s="5" t="n">
        <v>1</v>
      </c>
      <c r="O136" s="5" t="n">
        <v>1</v>
      </c>
      <c r="P136" s="5" t="n">
        <v>0</v>
      </c>
    </row>
    <row r="137" customFormat="false" ht="15" hidden="false" customHeight="false" outlineLevel="0" collapsed="false">
      <c r="A137" s="2" t="s">
        <v>48</v>
      </c>
      <c r="B137" s="2" t="s">
        <v>49</v>
      </c>
      <c r="C137" s="2" t="s">
        <v>32</v>
      </c>
      <c r="D137" s="2" t="s">
        <v>33</v>
      </c>
      <c r="E137" s="3" t="n">
        <v>728726.9</v>
      </c>
      <c r="F137" s="3" t="n">
        <v>1103773.9</v>
      </c>
      <c r="G137" s="3" t="n">
        <v>17797724</v>
      </c>
      <c r="H137" s="3" t="n">
        <v>7710.1</v>
      </c>
      <c r="I137" s="4" t="n">
        <v>13.4991</v>
      </c>
      <c r="J137" s="4" t="n">
        <v>8.9503</v>
      </c>
      <c r="K137" s="4" t="n">
        <v>13.9142</v>
      </c>
      <c r="L137" s="4" t="n">
        <v>16.6946</v>
      </c>
      <c r="M137" s="5" t="n">
        <v>0</v>
      </c>
      <c r="N137" s="5" t="n">
        <v>0</v>
      </c>
      <c r="O137" s="5" t="n">
        <v>0</v>
      </c>
      <c r="P137" s="5" t="n">
        <v>0</v>
      </c>
    </row>
    <row r="138" customFormat="false" ht="15" hidden="false" customHeight="false" outlineLevel="0" collapsed="false">
      <c r="A138" s="2" t="s">
        <v>40</v>
      </c>
      <c r="B138" s="2" t="s">
        <v>41</v>
      </c>
      <c r="C138" s="2" t="s">
        <v>89</v>
      </c>
      <c r="D138" s="2" t="s">
        <v>90</v>
      </c>
      <c r="E138" s="3" t="n">
        <v>1379770.5</v>
      </c>
      <c r="F138" s="3" t="n">
        <v>558580.2</v>
      </c>
      <c r="G138" s="3" t="n">
        <v>2288709</v>
      </c>
      <c r="H138" s="3" t="n">
        <v>9535.2</v>
      </c>
      <c r="I138" s="4" t="n">
        <v>14.1374</v>
      </c>
      <c r="J138" s="4" t="n">
        <v>9.1627</v>
      </c>
      <c r="K138" s="4" t="n">
        <v>13.2332</v>
      </c>
      <c r="L138" s="4" t="n">
        <v>14.6435</v>
      </c>
      <c r="M138" s="5" t="n">
        <v>0</v>
      </c>
      <c r="N138" s="5" t="n">
        <v>1</v>
      </c>
      <c r="O138" s="5" t="n">
        <v>1</v>
      </c>
      <c r="P138" s="5" t="n">
        <v>0</v>
      </c>
    </row>
    <row r="139" customFormat="false" ht="15" hidden="false" customHeight="false" outlineLevel="0" collapsed="false">
      <c r="A139" s="2" t="s">
        <v>20</v>
      </c>
      <c r="B139" s="2" t="s">
        <v>21</v>
      </c>
      <c r="C139" s="2" t="s">
        <v>87</v>
      </c>
      <c r="D139" s="2" t="s">
        <v>88</v>
      </c>
      <c r="E139" s="3" t="n">
        <v>753200.7</v>
      </c>
      <c r="F139" s="3" t="n">
        <v>554078.6</v>
      </c>
      <c r="G139" s="3" t="n">
        <v>1177003.4</v>
      </c>
      <c r="H139" s="3" t="n">
        <v>8589.9</v>
      </c>
      <c r="I139" s="4" t="n">
        <v>13.5321</v>
      </c>
      <c r="J139" s="4" t="n">
        <v>9.0583</v>
      </c>
      <c r="K139" s="4" t="n">
        <v>13.2251</v>
      </c>
      <c r="L139" s="4" t="n">
        <v>13.9785</v>
      </c>
      <c r="M139" s="5" t="n">
        <v>0</v>
      </c>
      <c r="N139" s="5" t="n">
        <v>1</v>
      </c>
      <c r="O139" s="5" t="n">
        <v>0</v>
      </c>
      <c r="P139" s="5" t="n">
        <v>0</v>
      </c>
    </row>
    <row r="140" customFormat="false" ht="15" hidden="false" customHeight="false" outlineLevel="0" collapsed="false">
      <c r="A140" s="2" t="s">
        <v>85</v>
      </c>
      <c r="B140" s="2" t="s">
        <v>86</v>
      </c>
      <c r="C140" s="2" t="s">
        <v>20</v>
      </c>
      <c r="D140" s="2" t="s">
        <v>21</v>
      </c>
      <c r="E140" s="3" t="n">
        <v>212450.7</v>
      </c>
      <c r="F140" s="3" t="n">
        <v>672752.5</v>
      </c>
      <c r="G140" s="3" t="n">
        <v>554078.6</v>
      </c>
      <c r="H140" s="3" t="n">
        <v>8988.3</v>
      </c>
      <c r="I140" s="4" t="n">
        <v>12.2665</v>
      </c>
      <c r="J140" s="4" t="n">
        <v>9.1037</v>
      </c>
      <c r="K140" s="4" t="n">
        <v>13.4191</v>
      </c>
      <c r="L140" s="4" t="n">
        <v>13.2251</v>
      </c>
      <c r="M140" s="5" t="n">
        <v>0</v>
      </c>
      <c r="N140" s="5" t="n">
        <v>1</v>
      </c>
      <c r="O140" s="5" t="n">
        <v>0</v>
      </c>
      <c r="P140" s="5" t="n">
        <v>0</v>
      </c>
    </row>
    <row r="141" customFormat="false" ht="15" hidden="false" customHeight="false" outlineLevel="0" collapsed="false">
      <c r="A141" s="2" t="s">
        <v>22</v>
      </c>
      <c r="B141" s="2" t="s">
        <v>23</v>
      </c>
      <c r="C141" s="2" t="s">
        <v>40</v>
      </c>
      <c r="D141" s="2" t="s">
        <v>41</v>
      </c>
      <c r="E141" s="3" t="n">
        <v>2274261.6</v>
      </c>
      <c r="F141" s="3" t="n">
        <v>569957.4</v>
      </c>
      <c r="G141" s="3" t="n">
        <v>558580.2</v>
      </c>
      <c r="H141" s="3" t="n">
        <v>9450.5</v>
      </c>
      <c r="I141" s="4" t="n">
        <v>14.6372</v>
      </c>
      <c r="J141" s="4" t="n">
        <v>9.1538</v>
      </c>
      <c r="K141" s="4" t="n">
        <v>13.2533</v>
      </c>
      <c r="L141" s="4" t="n">
        <v>13.2332</v>
      </c>
      <c r="M141" s="5" t="n">
        <v>0</v>
      </c>
      <c r="N141" s="5" t="n">
        <v>1</v>
      </c>
      <c r="O141" s="5" t="n">
        <v>0</v>
      </c>
      <c r="P141" s="5" t="n">
        <v>0</v>
      </c>
    </row>
    <row r="142" customFormat="false" ht="15" hidden="false" customHeight="false" outlineLevel="0" collapsed="false">
      <c r="A142" s="2" t="s">
        <v>62</v>
      </c>
      <c r="B142" s="2" t="s">
        <v>63</v>
      </c>
      <c r="C142" s="2" t="s">
        <v>91</v>
      </c>
      <c r="D142" s="2" t="s">
        <v>92</v>
      </c>
      <c r="E142" s="3" t="n">
        <v>367442.8</v>
      </c>
      <c r="F142" s="3" t="n">
        <v>848082.2</v>
      </c>
      <c r="G142" s="3" t="n">
        <v>634618.4</v>
      </c>
      <c r="H142" s="3" t="n">
        <v>8785.4</v>
      </c>
      <c r="I142" s="4" t="n">
        <v>12.8143</v>
      </c>
      <c r="J142" s="4" t="n">
        <v>9.0809</v>
      </c>
      <c r="K142" s="4" t="n">
        <v>13.6507</v>
      </c>
      <c r="L142" s="4" t="n">
        <v>13.3608</v>
      </c>
      <c r="M142" s="5" t="n">
        <v>0</v>
      </c>
      <c r="N142" s="5" t="n">
        <v>0</v>
      </c>
      <c r="O142" s="5" t="n">
        <v>1</v>
      </c>
      <c r="P142" s="5" t="n">
        <v>0</v>
      </c>
    </row>
    <row r="143" customFormat="false" ht="15" hidden="false" customHeight="false" outlineLevel="0" collapsed="false">
      <c r="A143" s="2" t="s">
        <v>85</v>
      </c>
      <c r="B143" s="2" t="s">
        <v>86</v>
      </c>
      <c r="C143" s="2" t="s">
        <v>24</v>
      </c>
      <c r="D143" s="2" t="s">
        <v>25</v>
      </c>
      <c r="E143" s="3" t="n">
        <v>3086379.4</v>
      </c>
      <c r="F143" s="3" t="n">
        <v>672752.5</v>
      </c>
      <c r="G143" s="3" t="n">
        <v>476003.9</v>
      </c>
      <c r="H143" s="3" t="n">
        <v>9167.8</v>
      </c>
      <c r="I143" s="4" t="n">
        <v>14.9425</v>
      </c>
      <c r="J143" s="4" t="n">
        <v>9.1235</v>
      </c>
      <c r="K143" s="4" t="n">
        <v>13.4191</v>
      </c>
      <c r="L143" s="4" t="n">
        <v>13.0732</v>
      </c>
      <c r="M143" s="5" t="n">
        <v>0</v>
      </c>
      <c r="N143" s="5" t="n">
        <v>0</v>
      </c>
      <c r="O143" s="5" t="n">
        <v>1</v>
      </c>
      <c r="P143" s="5" t="n">
        <v>0</v>
      </c>
    </row>
    <row r="144" customFormat="false" ht="15" hidden="false" customHeight="false" outlineLevel="0" collapsed="false">
      <c r="A144" s="2" t="s">
        <v>20</v>
      </c>
      <c r="B144" s="2" t="s">
        <v>21</v>
      </c>
      <c r="C144" s="2" t="s">
        <v>85</v>
      </c>
      <c r="D144" s="2" t="s">
        <v>86</v>
      </c>
      <c r="E144" s="3" t="n">
        <v>83886.6</v>
      </c>
      <c r="F144" s="3" t="n">
        <v>554078.6</v>
      </c>
      <c r="G144" s="3" t="n">
        <v>672752.5</v>
      </c>
      <c r="H144" s="3" t="n">
        <v>8988.3</v>
      </c>
      <c r="I144" s="4" t="n">
        <v>11.3372</v>
      </c>
      <c r="J144" s="4" t="n">
        <v>9.1037</v>
      </c>
      <c r="K144" s="4" t="n">
        <v>13.2251</v>
      </c>
      <c r="L144" s="4" t="n">
        <v>13.4191</v>
      </c>
      <c r="M144" s="5" t="n">
        <v>0</v>
      </c>
      <c r="N144" s="5" t="n">
        <v>1</v>
      </c>
      <c r="O144" s="5" t="n">
        <v>0</v>
      </c>
      <c r="P144" s="5" t="n">
        <v>0</v>
      </c>
    </row>
    <row r="145" customFormat="false" ht="15" hidden="false" customHeight="false" outlineLevel="0" collapsed="false">
      <c r="A145" s="2" t="s">
        <v>34</v>
      </c>
      <c r="B145" s="2" t="s">
        <v>35</v>
      </c>
      <c r="C145" s="2" t="s">
        <v>40</v>
      </c>
      <c r="D145" s="2" t="s">
        <v>41</v>
      </c>
      <c r="E145" s="3" t="n">
        <v>8007377</v>
      </c>
      <c r="F145" s="3" t="n">
        <v>1102635</v>
      </c>
      <c r="G145" s="3" t="n">
        <v>558580.2</v>
      </c>
      <c r="H145" s="3" t="n">
        <v>9126.9</v>
      </c>
      <c r="I145" s="4" t="n">
        <v>15.8959</v>
      </c>
      <c r="J145" s="4" t="n">
        <v>9.119</v>
      </c>
      <c r="K145" s="4" t="n">
        <v>13.9132</v>
      </c>
      <c r="L145" s="4" t="n">
        <v>13.2332</v>
      </c>
      <c r="M145" s="5" t="n">
        <v>0</v>
      </c>
      <c r="N145" s="5" t="n">
        <v>1</v>
      </c>
      <c r="O145" s="5" t="n">
        <v>0</v>
      </c>
      <c r="P145" s="5" t="n">
        <v>0</v>
      </c>
    </row>
    <row r="146" customFormat="false" ht="15" hidden="false" customHeight="false" outlineLevel="0" collapsed="false">
      <c r="A146" s="2" t="s">
        <v>38</v>
      </c>
      <c r="B146" s="2" t="s">
        <v>39</v>
      </c>
      <c r="C146" s="2" t="s">
        <v>34</v>
      </c>
      <c r="D146" s="2" t="s">
        <v>35</v>
      </c>
      <c r="E146" s="3" t="n">
        <v>135872.8</v>
      </c>
      <c r="F146" s="3" t="n">
        <v>522118.3</v>
      </c>
      <c r="G146" s="3" t="n">
        <v>1102635</v>
      </c>
      <c r="H146" s="3" t="n">
        <v>9772.9</v>
      </c>
      <c r="I146" s="4" t="n">
        <v>11.8195</v>
      </c>
      <c r="J146" s="4" t="n">
        <v>9.1874</v>
      </c>
      <c r="K146" s="4" t="n">
        <v>13.1656</v>
      </c>
      <c r="L146" s="4" t="n">
        <v>13.9132</v>
      </c>
      <c r="M146" s="5" t="n">
        <v>0</v>
      </c>
      <c r="N146" s="5" t="n">
        <v>0</v>
      </c>
      <c r="O146" s="5" t="n">
        <v>0</v>
      </c>
      <c r="P146" s="5" t="n">
        <v>0</v>
      </c>
    </row>
    <row r="147" customFormat="false" ht="15" hidden="false" customHeight="false" outlineLevel="0" collapsed="false">
      <c r="A147" s="2" t="s">
        <v>82</v>
      </c>
      <c r="B147" s="2" t="s">
        <v>83</v>
      </c>
      <c r="C147" s="2" t="s">
        <v>20</v>
      </c>
      <c r="D147" s="2" t="s">
        <v>21</v>
      </c>
      <c r="E147" s="3" t="n">
        <v>63221.2</v>
      </c>
      <c r="F147" s="3" t="n">
        <v>822121.3</v>
      </c>
      <c r="G147" s="3" t="n">
        <v>554078.6</v>
      </c>
      <c r="H147" s="3" t="n">
        <v>9049.7</v>
      </c>
      <c r="I147" s="4" t="n">
        <v>11.0544</v>
      </c>
      <c r="J147" s="4" t="n">
        <v>9.1105</v>
      </c>
      <c r="K147" s="4" t="n">
        <v>13.6196</v>
      </c>
      <c r="L147" s="4" t="n">
        <v>13.2251</v>
      </c>
      <c r="M147" s="5" t="n">
        <v>0</v>
      </c>
      <c r="N147" s="5" t="n">
        <v>1</v>
      </c>
      <c r="O147" s="5" t="n">
        <v>0</v>
      </c>
      <c r="P147" s="5" t="n">
        <v>0</v>
      </c>
    </row>
    <row r="148" customFormat="false" ht="15" hidden="false" customHeight="false" outlineLevel="0" collapsed="false">
      <c r="A148" s="2" t="s">
        <v>91</v>
      </c>
      <c r="B148" s="2" t="s">
        <v>92</v>
      </c>
      <c r="C148" s="2" t="s">
        <v>30</v>
      </c>
      <c r="D148" s="2" t="s">
        <v>31</v>
      </c>
      <c r="E148" s="3" t="n">
        <v>133786.7</v>
      </c>
      <c r="F148" s="3" t="n">
        <v>634618.4</v>
      </c>
      <c r="G148" s="3" t="n">
        <v>1041614.3</v>
      </c>
      <c r="H148" s="3" t="n">
        <v>9763.5</v>
      </c>
      <c r="I148" s="4" t="n">
        <v>11.804</v>
      </c>
      <c r="J148" s="4" t="n">
        <v>9.1864</v>
      </c>
      <c r="K148" s="4" t="n">
        <v>13.3608</v>
      </c>
      <c r="L148" s="4" t="n">
        <v>13.8563</v>
      </c>
      <c r="M148" s="5" t="n">
        <v>0</v>
      </c>
      <c r="N148" s="5" t="n">
        <v>0</v>
      </c>
      <c r="O148" s="5" t="n">
        <v>1</v>
      </c>
      <c r="P148" s="5" t="n">
        <v>0</v>
      </c>
    </row>
    <row r="149" customFormat="false" ht="15" hidden="false" customHeight="false" outlineLevel="0" collapsed="false">
      <c r="A149" s="2" t="s">
        <v>80</v>
      </c>
      <c r="B149" s="2" t="s">
        <v>81</v>
      </c>
      <c r="C149" s="2" t="s">
        <v>50</v>
      </c>
      <c r="D149" s="2" t="s">
        <v>51</v>
      </c>
      <c r="E149" s="3" t="n">
        <v>998896.4</v>
      </c>
      <c r="F149" s="3" t="n">
        <v>1620789.4</v>
      </c>
      <c r="G149" s="3" t="n">
        <v>2189993.8</v>
      </c>
      <c r="H149" s="3" t="n">
        <v>8611.1</v>
      </c>
      <c r="I149" s="4" t="n">
        <v>13.8144</v>
      </c>
      <c r="J149" s="4" t="n">
        <v>9.0608</v>
      </c>
      <c r="K149" s="4" t="n">
        <v>14.2984</v>
      </c>
      <c r="L149" s="4" t="n">
        <v>14.5994</v>
      </c>
      <c r="M149" s="5" t="n">
        <v>0</v>
      </c>
      <c r="N149" s="5" t="n">
        <v>0</v>
      </c>
      <c r="O149" s="5" t="n">
        <v>0</v>
      </c>
      <c r="P149" s="5" t="n">
        <v>0</v>
      </c>
    </row>
    <row r="150" customFormat="false" ht="15" hidden="false" customHeight="false" outlineLevel="0" collapsed="false">
      <c r="A150" s="2" t="s">
        <v>64</v>
      </c>
      <c r="B150" s="2" t="s">
        <v>65</v>
      </c>
      <c r="C150" s="2" t="s">
        <v>84</v>
      </c>
      <c r="D150" s="2" t="s">
        <v>84</v>
      </c>
      <c r="E150" s="3" t="n">
        <v>3470980.6</v>
      </c>
      <c r="F150" s="3" t="n">
        <v>732951</v>
      </c>
      <c r="G150" s="3" t="n">
        <v>17712704</v>
      </c>
      <c r="H150" s="3" t="n">
        <v>8703.2</v>
      </c>
      <c r="I150" s="4" t="n">
        <v>15.0599</v>
      </c>
      <c r="J150" s="4" t="n">
        <v>9.0714</v>
      </c>
      <c r="K150" s="4" t="n">
        <v>13.5048</v>
      </c>
      <c r="L150" s="4" t="n">
        <v>16.6898</v>
      </c>
      <c r="M150" s="5" t="n">
        <v>0</v>
      </c>
      <c r="N150" s="5" t="n">
        <v>1</v>
      </c>
      <c r="O150" s="5" t="n">
        <v>0</v>
      </c>
      <c r="P150" s="5" t="n">
        <v>0</v>
      </c>
    </row>
    <row r="151" customFormat="false" ht="15" hidden="false" customHeight="false" outlineLevel="0" collapsed="false">
      <c r="A151" s="2" t="s">
        <v>66</v>
      </c>
      <c r="B151" s="2" t="s">
        <v>67</v>
      </c>
      <c r="C151" s="2" t="s">
        <v>84</v>
      </c>
      <c r="D151" s="2" t="s">
        <v>84</v>
      </c>
      <c r="E151" s="3" t="n">
        <v>21711464.9</v>
      </c>
      <c r="F151" s="3" t="n">
        <v>2905474.5</v>
      </c>
      <c r="G151" s="3" t="n">
        <v>17712704</v>
      </c>
      <c r="H151" s="3" t="n">
        <v>8057.6</v>
      </c>
      <c r="I151" s="4" t="n">
        <v>16.8934</v>
      </c>
      <c r="J151" s="4" t="n">
        <v>8.9944</v>
      </c>
      <c r="K151" s="4" t="n">
        <v>14.8821</v>
      </c>
      <c r="L151" s="4" t="n">
        <v>16.6898</v>
      </c>
      <c r="M151" s="5" t="n">
        <v>0</v>
      </c>
      <c r="N151" s="5" t="n">
        <v>1</v>
      </c>
      <c r="O151" s="5" t="n">
        <v>0</v>
      </c>
      <c r="P151" s="5" t="n">
        <v>0</v>
      </c>
    </row>
    <row r="152" customFormat="false" ht="15" hidden="false" customHeight="false" outlineLevel="0" collapsed="false">
      <c r="A152" s="2" t="s">
        <v>68</v>
      </c>
      <c r="B152" s="2" t="s">
        <v>69</v>
      </c>
      <c r="C152" s="2" t="s">
        <v>64</v>
      </c>
      <c r="D152" s="2" t="s">
        <v>65</v>
      </c>
      <c r="E152" s="3" t="n">
        <v>812.4</v>
      </c>
      <c r="F152" s="3" t="n">
        <v>1306574.1</v>
      </c>
      <c r="G152" s="3" t="n">
        <v>732951</v>
      </c>
      <c r="H152" s="3" t="n">
        <v>13923.9</v>
      </c>
      <c r="I152" s="4" t="n">
        <v>6.6999</v>
      </c>
      <c r="J152" s="4" t="n">
        <v>9.5414</v>
      </c>
      <c r="K152" s="4" t="n">
        <v>14.0829</v>
      </c>
      <c r="L152" s="4" t="n">
        <v>13.5048</v>
      </c>
      <c r="M152" s="5" t="n">
        <v>0</v>
      </c>
      <c r="N152" s="5" t="n">
        <v>0</v>
      </c>
      <c r="O152" s="5" t="n">
        <v>0</v>
      </c>
      <c r="P152" s="5" t="n">
        <v>0</v>
      </c>
    </row>
    <row r="153" customFormat="false" ht="15" hidden="false" customHeight="false" outlineLevel="0" collapsed="false">
      <c r="A153" s="2" t="s">
        <v>64</v>
      </c>
      <c r="B153" s="2" t="s">
        <v>65</v>
      </c>
      <c r="C153" s="2" t="s">
        <v>34</v>
      </c>
      <c r="D153" s="2" t="s">
        <v>35</v>
      </c>
      <c r="E153" s="3" t="n">
        <v>521088.2</v>
      </c>
      <c r="F153" s="3" t="n">
        <v>732951</v>
      </c>
      <c r="G153" s="3" t="n">
        <v>1102635</v>
      </c>
      <c r="H153" s="3" t="n">
        <v>17127.9</v>
      </c>
      <c r="I153" s="4" t="n">
        <v>13.1637</v>
      </c>
      <c r="J153" s="4" t="n">
        <v>9.7485</v>
      </c>
      <c r="K153" s="4" t="n">
        <v>13.5048</v>
      </c>
      <c r="L153" s="4" t="n">
        <v>13.9132</v>
      </c>
      <c r="M153" s="5" t="n">
        <v>0</v>
      </c>
      <c r="N153" s="5" t="n">
        <v>1</v>
      </c>
      <c r="O153" s="5" t="n">
        <v>0</v>
      </c>
      <c r="P153" s="5" t="n">
        <v>0</v>
      </c>
    </row>
    <row r="154" customFormat="false" ht="15" hidden="false" customHeight="false" outlineLevel="0" collapsed="false">
      <c r="A154" s="2" t="s">
        <v>64</v>
      </c>
      <c r="B154" s="2" t="s">
        <v>65</v>
      </c>
      <c r="C154" s="2" t="s">
        <v>26</v>
      </c>
      <c r="D154" s="2" t="s">
        <v>27</v>
      </c>
      <c r="E154" s="3" t="n">
        <v>377184.8</v>
      </c>
      <c r="F154" s="3" t="n">
        <v>732951</v>
      </c>
      <c r="G154" s="3" t="n">
        <v>2689070</v>
      </c>
      <c r="H154" s="3" t="n">
        <v>10852.2</v>
      </c>
      <c r="I154" s="4" t="n">
        <v>12.8405</v>
      </c>
      <c r="J154" s="4" t="n">
        <v>9.2921</v>
      </c>
      <c r="K154" s="4" t="n">
        <v>13.5048</v>
      </c>
      <c r="L154" s="4" t="n">
        <v>14.8047</v>
      </c>
      <c r="M154" s="5" t="n">
        <v>0</v>
      </c>
      <c r="N154" s="5" t="n">
        <v>1</v>
      </c>
      <c r="O154" s="5" t="n">
        <v>0</v>
      </c>
      <c r="P154" s="5" t="n">
        <v>0</v>
      </c>
    </row>
    <row r="155" customFormat="false" ht="15" hidden="false" customHeight="false" outlineLevel="0" collapsed="false">
      <c r="A155" s="2" t="s">
        <v>22</v>
      </c>
      <c r="B155" s="2" t="s">
        <v>23</v>
      </c>
      <c r="C155" s="2" t="s">
        <v>64</v>
      </c>
      <c r="D155" s="2" t="s">
        <v>65</v>
      </c>
      <c r="E155" s="3" t="n">
        <v>693651.4</v>
      </c>
      <c r="F155" s="3" t="n">
        <v>569957.4</v>
      </c>
      <c r="G155" s="3" t="n">
        <v>732951</v>
      </c>
      <c r="H155" s="3" t="n">
        <v>17592.1</v>
      </c>
      <c r="I155" s="4" t="n">
        <v>13.4497</v>
      </c>
      <c r="J155" s="4" t="n">
        <v>9.7752</v>
      </c>
      <c r="K155" s="4" t="n">
        <v>13.2533</v>
      </c>
      <c r="L155" s="4" t="n">
        <v>13.5048</v>
      </c>
      <c r="M155" s="5" t="n">
        <v>0</v>
      </c>
      <c r="N155" s="5" t="n">
        <v>1</v>
      </c>
      <c r="O155" s="5" t="n">
        <v>0</v>
      </c>
      <c r="P155" s="5" t="n">
        <v>0</v>
      </c>
    </row>
    <row r="156" customFormat="false" ht="15" hidden="false" customHeight="false" outlineLevel="0" collapsed="false">
      <c r="A156" s="2" t="s">
        <v>87</v>
      </c>
      <c r="B156" s="2" t="s">
        <v>88</v>
      </c>
      <c r="C156" s="2" t="s">
        <v>44</v>
      </c>
      <c r="D156" s="2" t="s">
        <v>45</v>
      </c>
      <c r="E156" s="3" t="n">
        <v>23465.8</v>
      </c>
      <c r="F156" s="3" t="n">
        <v>1177003.4</v>
      </c>
      <c r="G156" s="3" t="n">
        <v>485827</v>
      </c>
      <c r="H156" s="3" t="n">
        <v>14767</v>
      </c>
      <c r="I156" s="4" t="n">
        <v>10.0633</v>
      </c>
      <c r="J156" s="4" t="n">
        <v>9.6001</v>
      </c>
      <c r="K156" s="4" t="n">
        <v>13.9785</v>
      </c>
      <c r="L156" s="4" t="n">
        <v>13.0936</v>
      </c>
      <c r="M156" s="5" t="n">
        <v>0</v>
      </c>
      <c r="N156" s="5" t="n">
        <v>0</v>
      </c>
      <c r="O156" s="5" t="n">
        <v>0</v>
      </c>
      <c r="P156" s="5" t="n">
        <v>0</v>
      </c>
    </row>
    <row r="157" customFormat="false" ht="15" hidden="false" customHeight="false" outlineLevel="0" collapsed="false">
      <c r="A157" s="2" t="s">
        <v>46</v>
      </c>
      <c r="B157" s="2" t="s">
        <v>47</v>
      </c>
      <c r="C157" s="2" t="s">
        <v>62</v>
      </c>
      <c r="D157" s="2" t="s">
        <v>63</v>
      </c>
      <c r="E157" s="3" t="n">
        <v>3180178.2</v>
      </c>
      <c r="F157" s="3" t="n">
        <v>2741298</v>
      </c>
      <c r="G157" s="3" t="n">
        <v>848082.2</v>
      </c>
      <c r="H157" s="3" t="n">
        <v>11378.5</v>
      </c>
      <c r="I157" s="4" t="n">
        <v>14.9724</v>
      </c>
      <c r="J157" s="4" t="n">
        <v>9.3395</v>
      </c>
      <c r="K157" s="4" t="n">
        <v>14.8239</v>
      </c>
      <c r="L157" s="4" t="n">
        <v>13.6507</v>
      </c>
      <c r="M157" s="5" t="n">
        <v>0</v>
      </c>
      <c r="N157" s="5" t="n">
        <v>1</v>
      </c>
      <c r="O157" s="5" t="n">
        <v>0</v>
      </c>
      <c r="P157" s="5" t="n">
        <v>1</v>
      </c>
    </row>
    <row r="158" customFormat="false" ht="15" hidden="false" customHeight="false" outlineLevel="0" collapsed="false">
      <c r="A158" s="2" t="s">
        <v>66</v>
      </c>
      <c r="B158" s="2" t="s">
        <v>67</v>
      </c>
      <c r="C158" s="2" t="s">
        <v>87</v>
      </c>
      <c r="D158" s="2" t="s">
        <v>88</v>
      </c>
      <c r="E158" s="3" t="n">
        <v>498194.7</v>
      </c>
      <c r="F158" s="3" t="n">
        <v>2905474.5</v>
      </c>
      <c r="G158" s="3" t="n">
        <v>1177003.4</v>
      </c>
      <c r="H158" s="3" t="n">
        <v>14091.6</v>
      </c>
      <c r="I158" s="4" t="n">
        <v>13.1187</v>
      </c>
      <c r="J158" s="4" t="n">
        <v>9.5533</v>
      </c>
      <c r="K158" s="4" t="n">
        <v>14.8821</v>
      </c>
      <c r="L158" s="4" t="n">
        <v>13.9785</v>
      </c>
      <c r="M158" s="5" t="n">
        <v>0</v>
      </c>
      <c r="N158" s="5" t="n">
        <v>1</v>
      </c>
      <c r="O158" s="5" t="n">
        <v>0</v>
      </c>
      <c r="P158" s="5" t="n">
        <v>0</v>
      </c>
    </row>
    <row r="159" customFormat="false" ht="15" hidden="false" customHeight="false" outlineLevel="0" collapsed="false">
      <c r="A159" s="2" t="s">
        <v>91</v>
      </c>
      <c r="B159" s="2" t="s">
        <v>92</v>
      </c>
      <c r="C159" s="2" t="s">
        <v>87</v>
      </c>
      <c r="D159" s="2" t="s">
        <v>88</v>
      </c>
      <c r="E159" s="3" t="n">
        <v>159929.9</v>
      </c>
      <c r="F159" s="3" t="n">
        <v>634618.4</v>
      </c>
      <c r="G159" s="3" t="n">
        <v>1177003.4</v>
      </c>
      <c r="H159" s="3" t="n">
        <v>14827</v>
      </c>
      <c r="I159" s="4" t="n">
        <v>11.9825</v>
      </c>
      <c r="J159" s="4" t="n">
        <v>9.6042</v>
      </c>
      <c r="K159" s="4" t="n">
        <v>13.3608</v>
      </c>
      <c r="L159" s="4" t="n">
        <v>13.9785</v>
      </c>
      <c r="M159" s="5" t="n">
        <v>0</v>
      </c>
      <c r="N159" s="5" t="n">
        <v>0</v>
      </c>
      <c r="O159" s="5" t="n">
        <v>0</v>
      </c>
      <c r="P159" s="5" t="n">
        <v>0</v>
      </c>
    </row>
    <row r="160" customFormat="false" ht="15" hidden="false" customHeight="false" outlineLevel="0" collapsed="false">
      <c r="A160" s="2" t="s">
        <v>48</v>
      </c>
      <c r="B160" s="2" t="s">
        <v>49</v>
      </c>
      <c r="C160" s="2" t="s">
        <v>84</v>
      </c>
      <c r="D160" s="2" t="s">
        <v>84</v>
      </c>
      <c r="E160" s="3" t="n">
        <v>2389517.1</v>
      </c>
      <c r="F160" s="3" t="n">
        <v>1103773.9</v>
      </c>
      <c r="G160" s="3" t="n">
        <v>17712704</v>
      </c>
      <c r="H160" s="3" t="n">
        <v>10480.5</v>
      </c>
      <c r="I160" s="4" t="n">
        <v>14.6866</v>
      </c>
      <c r="J160" s="4" t="n">
        <v>9.2573</v>
      </c>
      <c r="K160" s="4" t="n">
        <v>13.9142</v>
      </c>
      <c r="L160" s="4" t="n">
        <v>16.6898</v>
      </c>
      <c r="M160" s="5" t="n">
        <v>0</v>
      </c>
      <c r="N160" s="5" t="n">
        <v>1</v>
      </c>
      <c r="O160" s="5" t="n">
        <v>0</v>
      </c>
      <c r="P160" s="5" t="n">
        <v>0</v>
      </c>
    </row>
    <row r="161" customFormat="false" ht="15" hidden="false" customHeight="false" outlineLevel="0" collapsed="false">
      <c r="A161" s="2" t="s">
        <v>91</v>
      </c>
      <c r="B161" s="2" t="s">
        <v>92</v>
      </c>
      <c r="C161" s="2" t="s">
        <v>36</v>
      </c>
      <c r="D161" s="2" t="s">
        <v>37</v>
      </c>
      <c r="E161" s="3" t="n">
        <v>70116.1</v>
      </c>
      <c r="F161" s="3" t="n">
        <v>634618.4</v>
      </c>
      <c r="G161" s="3" t="n">
        <v>611053.3</v>
      </c>
      <c r="H161" s="3" t="n">
        <v>12279</v>
      </c>
      <c r="I161" s="4" t="n">
        <v>11.1579</v>
      </c>
      <c r="J161" s="4" t="n">
        <v>9.4156</v>
      </c>
      <c r="K161" s="4" t="n">
        <v>13.3608</v>
      </c>
      <c r="L161" s="4" t="n">
        <v>13.3229</v>
      </c>
      <c r="M161" s="5" t="n">
        <v>0</v>
      </c>
      <c r="N161" s="5" t="n">
        <v>0</v>
      </c>
      <c r="O161" s="5" t="n">
        <v>0</v>
      </c>
      <c r="P161" s="5" t="n">
        <v>0</v>
      </c>
    </row>
    <row r="162" customFormat="false" ht="15" hidden="false" customHeight="false" outlineLevel="0" collapsed="false">
      <c r="A162" s="2" t="s">
        <v>89</v>
      </c>
      <c r="B162" s="2" t="s">
        <v>90</v>
      </c>
      <c r="C162" s="2" t="s">
        <v>48</v>
      </c>
      <c r="D162" s="2" t="s">
        <v>49</v>
      </c>
      <c r="E162" s="3" t="n">
        <v>142670.5</v>
      </c>
      <c r="F162" s="3" t="n">
        <v>2288709</v>
      </c>
      <c r="G162" s="3" t="n">
        <v>1103773.9</v>
      </c>
      <c r="H162" s="3" t="n">
        <v>12280.4</v>
      </c>
      <c r="I162" s="4" t="n">
        <v>11.8683</v>
      </c>
      <c r="J162" s="4" t="n">
        <v>9.4158</v>
      </c>
      <c r="K162" s="4" t="n">
        <v>14.6435</v>
      </c>
      <c r="L162" s="4" t="n">
        <v>13.9142</v>
      </c>
      <c r="M162" s="5" t="n">
        <v>0</v>
      </c>
      <c r="N162" s="5" t="n">
        <v>0</v>
      </c>
      <c r="O162" s="5" t="n">
        <v>0</v>
      </c>
      <c r="P162" s="5" t="n">
        <v>0</v>
      </c>
    </row>
    <row r="163" customFormat="false" ht="15" hidden="false" customHeight="false" outlineLevel="0" collapsed="false">
      <c r="A163" s="2" t="s">
        <v>87</v>
      </c>
      <c r="B163" s="2" t="s">
        <v>88</v>
      </c>
      <c r="C163" s="2" t="s">
        <v>66</v>
      </c>
      <c r="D163" s="2" t="s">
        <v>67</v>
      </c>
      <c r="E163" s="3" t="n">
        <v>552061.5</v>
      </c>
      <c r="F163" s="3" t="n">
        <v>1177003.4</v>
      </c>
      <c r="G163" s="3" t="n">
        <v>2905474.5</v>
      </c>
      <c r="H163" s="3" t="n">
        <v>14091.6</v>
      </c>
      <c r="I163" s="4" t="n">
        <v>13.2214</v>
      </c>
      <c r="J163" s="4" t="n">
        <v>9.5533</v>
      </c>
      <c r="K163" s="4" t="n">
        <v>13.9785</v>
      </c>
      <c r="L163" s="4" t="n">
        <v>14.8821</v>
      </c>
      <c r="M163" s="5" t="n">
        <v>0</v>
      </c>
      <c r="N163" s="5" t="n">
        <v>1</v>
      </c>
      <c r="O163" s="5" t="n">
        <v>0</v>
      </c>
      <c r="P163" s="5" t="n">
        <v>0</v>
      </c>
    </row>
    <row r="164" customFormat="false" ht="15" hidden="false" customHeight="false" outlineLevel="0" collapsed="false">
      <c r="A164" s="2" t="s">
        <v>56</v>
      </c>
      <c r="B164" s="2" t="s">
        <v>57</v>
      </c>
      <c r="C164" s="2" t="s">
        <v>64</v>
      </c>
      <c r="D164" s="2" t="s">
        <v>65</v>
      </c>
      <c r="E164" s="3" t="n">
        <v>121281.9</v>
      </c>
      <c r="F164" s="3" t="n">
        <v>3331626.2</v>
      </c>
      <c r="G164" s="3" t="n">
        <v>732951</v>
      </c>
      <c r="H164" s="3" t="n">
        <v>14447.6</v>
      </c>
      <c r="I164" s="4" t="n">
        <v>11.7059</v>
      </c>
      <c r="J164" s="4" t="n">
        <v>9.5783</v>
      </c>
      <c r="K164" s="4" t="n">
        <v>15.019</v>
      </c>
      <c r="L164" s="4" t="n">
        <v>13.5048</v>
      </c>
      <c r="M164" s="5" t="n">
        <v>0</v>
      </c>
      <c r="N164" s="5" t="n">
        <v>0</v>
      </c>
      <c r="O164" s="5" t="n">
        <v>0</v>
      </c>
      <c r="P164" s="5" t="n">
        <v>0</v>
      </c>
    </row>
    <row r="165" customFormat="false" ht="15" hidden="false" customHeight="false" outlineLevel="0" collapsed="false">
      <c r="A165" s="2" t="s">
        <v>87</v>
      </c>
      <c r="B165" s="2" t="s">
        <v>88</v>
      </c>
      <c r="C165" s="2" t="s">
        <v>74</v>
      </c>
      <c r="D165" s="2" t="s">
        <v>75</v>
      </c>
      <c r="E165" s="3" t="n">
        <v>386692.9</v>
      </c>
      <c r="F165" s="3" t="n">
        <v>1177003.4</v>
      </c>
      <c r="G165" s="3" t="n">
        <v>1045692.6</v>
      </c>
      <c r="H165" s="3" t="n">
        <v>10505.4</v>
      </c>
      <c r="I165" s="4" t="n">
        <v>12.8654</v>
      </c>
      <c r="J165" s="4" t="n">
        <v>9.2596</v>
      </c>
      <c r="K165" s="4" t="n">
        <v>13.9785</v>
      </c>
      <c r="L165" s="4" t="n">
        <v>13.8602</v>
      </c>
      <c r="M165" s="5" t="n">
        <v>0</v>
      </c>
      <c r="N165" s="5" t="n">
        <v>1</v>
      </c>
      <c r="O165" s="5" t="n">
        <v>0</v>
      </c>
      <c r="P165" s="5" t="n">
        <v>0</v>
      </c>
    </row>
    <row r="166" customFormat="false" ht="15" hidden="false" customHeight="false" outlineLevel="0" collapsed="false">
      <c r="A166" s="2" t="s">
        <v>91</v>
      </c>
      <c r="B166" s="2" t="s">
        <v>92</v>
      </c>
      <c r="C166" s="2" t="s">
        <v>22</v>
      </c>
      <c r="D166" s="2" t="s">
        <v>23</v>
      </c>
      <c r="E166" s="3" t="n">
        <v>26295.7</v>
      </c>
      <c r="F166" s="3" t="n">
        <v>634618.4</v>
      </c>
      <c r="G166" s="3" t="n">
        <v>569957.4</v>
      </c>
      <c r="H166" s="3" t="n">
        <v>17646.7</v>
      </c>
      <c r="I166" s="4" t="n">
        <v>10.1772</v>
      </c>
      <c r="J166" s="4" t="n">
        <v>9.7783</v>
      </c>
      <c r="K166" s="4" t="n">
        <v>13.3608</v>
      </c>
      <c r="L166" s="4" t="n">
        <v>13.2533</v>
      </c>
      <c r="M166" s="5" t="n">
        <v>0</v>
      </c>
      <c r="N166" s="5" t="n">
        <v>0</v>
      </c>
      <c r="O166" s="5" t="n">
        <v>0</v>
      </c>
      <c r="P166" s="5" t="n">
        <v>0</v>
      </c>
    </row>
    <row r="167" customFormat="false" ht="15" hidden="false" customHeight="false" outlineLevel="0" collapsed="false">
      <c r="A167" s="2" t="s">
        <v>30</v>
      </c>
      <c r="B167" s="2" t="s">
        <v>31</v>
      </c>
      <c r="C167" s="2" t="s">
        <v>46</v>
      </c>
      <c r="D167" s="2" t="s">
        <v>47</v>
      </c>
      <c r="E167" s="3" t="n">
        <v>293275.3</v>
      </c>
      <c r="F167" s="3" t="n">
        <v>1041614.3</v>
      </c>
      <c r="G167" s="3" t="n">
        <v>2741298</v>
      </c>
      <c r="H167" s="3" t="n">
        <v>10407.6</v>
      </c>
      <c r="I167" s="4" t="n">
        <v>12.5889</v>
      </c>
      <c r="J167" s="4" t="n">
        <v>9.2503</v>
      </c>
      <c r="K167" s="4" t="n">
        <v>13.8563</v>
      </c>
      <c r="L167" s="4" t="n">
        <v>14.8239</v>
      </c>
      <c r="M167" s="5" t="n">
        <v>0</v>
      </c>
      <c r="N167" s="5" t="n">
        <v>0</v>
      </c>
      <c r="O167" s="5" t="n">
        <v>0</v>
      </c>
      <c r="P167" s="5" t="n">
        <v>0</v>
      </c>
    </row>
    <row r="168" customFormat="false" ht="15" hidden="false" customHeight="false" outlineLevel="0" collapsed="false">
      <c r="A168" s="2" t="s">
        <v>58</v>
      </c>
      <c r="B168" s="2" t="s">
        <v>59</v>
      </c>
      <c r="C168" s="2" t="s">
        <v>64</v>
      </c>
      <c r="D168" s="2" t="s">
        <v>65</v>
      </c>
      <c r="E168" s="3" t="n">
        <v>106216.1</v>
      </c>
      <c r="F168" s="3" t="n">
        <v>639613.9</v>
      </c>
      <c r="G168" s="3" t="n">
        <v>732951</v>
      </c>
      <c r="H168" s="3" t="n">
        <v>13831.8</v>
      </c>
      <c r="I168" s="4" t="n">
        <v>11.5732</v>
      </c>
      <c r="J168" s="4" t="n">
        <v>9.5347</v>
      </c>
      <c r="K168" s="4" t="n">
        <v>13.3686</v>
      </c>
      <c r="L168" s="4" t="n">
        <v>13.5048</v>
      </c>
      <c r="M168" s="5" t="n">
        <v>0</v>
      </c>
      <c r="N168" s="5" t="n">
        <v>1</v>
      </c>
      <c r="O168" s="5" t="n">
        <v>0</v>
      </c>
      <c r="P168" s="5" t="n">
        <v>0</v>
      </c>
    </row>
    <row r="169" customFormat="false" ht="15" hidden="false" customHeight="false" outlineLevel="0" collapsed="false">
      <c r="A169" s="2" t="s">
        <v>89</v>
      </c>
      <c r="B169" s="2" t="s">
        <v>90</v>
      </c>
      <c r="C169" s="2" t="s">
        <v>20</v>
      </c>
      <c r="D169" s="2" t="s">
        <v>21</v>
      </c>
      <c r="E169" s="3" t="n">
        <v>1176.2</v>
      </c>
      <c r="F169" s="3" t="n">
        <v>2288709</v>
      </c>
      <c r="G169" s="3" t="n">
        <v>554078.6</v>
      </c>
      <c r="H169" s="3" t="n">
        <v>14794.7</v>
      </c>
      <c r="I169" s="4" t="n">
        <v>7.07</v>
      </c>
      <c r="J169" s="4" t="n">
        <v>9.602</v>
      </c>
      <c r="K169" s="4" t="n">
        <v>14.6435</v>
      </c>
      <c r="L169" s="4" t="n">
        <v>13.2251</v>
      </c>
      <c r="M169" s="5" t="n">
        <v>0</v>
      </c>
      <c r="N169" s="5" t="n">
        <v>0</v>
      </c>
      <c r="O169" s="5" t="n">
        <v>0</v>
      </c>
      <c r="P169" s="5" t="n">
        <v>0</v>
      </c>
    </row>
    <row r="170" customFormat="false" ht="15" hidden="false" customHeight="false" outlineLevel="0" collapsed="false">
      <c r="A170" s="2" t="s">
        <v>50</v>
      </c>
      <c r="B170" s="2" t="s">
        <v>51</v>
      </c>
      <c r="C170" s="2" t="s">
        <v>89</v>
      </c>
      <c r="D170" s="2" t="s">
        <v>90</v>
      </c>
      <c r="E170" s="3" t="n">
        <v>574868.7</v>
      </c>
      <c r="F170" s="3" t="n">
        <v>2189993.8</v>
      </c>
      <c r="G170" s="3" t="n">
        <v>2288709</v>
      </c>
      <c r="H170" s="3" t="n">
        <v>11612.2</v>
      </c>
      <c r="I170" s="4" t="n">
        <v>13.2619</v>
      </c>
      <c r="J170" s="4" t="n">
        <v>9.3598</v>
      </c>
      <c r="K170" s="4" t="n">
        <v>14.5994</v>
      </c>
      <c r="L170" s="4" t="n">
        <v>14.6435</v>
      </c>
      <c r="M170" s="5" t="n">
        <v>0</v>
      </c>
      <c r="N170" s="5" t="n">
        <v>0</v>
      </c>
      <c r="O170" s="5" t="n">
        <v>0</v>
      </c>
      <c r="P170" s="5" t="n">
        <v>0</v>
      </c>
    </row>
    <row r="171" customFormat="false" ht="15" hidden="false" customHeight="false" outlineLevel="0" collapsed="false">
      <c r="A171" s="2" t="s">
        <v>80</v>
      </c>
      <c r="B171" s="2" t="s">
        <v>81</v>
      </c>
      <c r="C171" s="2" t="s">
        <v>72</v>
      </c>
      <c r="D171" s="2" t="s">
        <v>73</v>
      </c>
      <c r="E171" s="3" t="n">
        <v>744306.4</v>
      </c>
      <c r="F171" s="3" t="n">
        <v>1620789.4</v>
      </c>
      <c r="G171" s="3" t="n">
        <v>800424.5</v>
      </c>
      <c r="H171" s="3" t="n">
        <v>12646.6</v>
      </c>
      <c r="I171" s="4" t="n">
        <v>13.5202</v>
      </c>
      <c r="J171" s="4" t="n">
        <v>9.4451</v>
      </c>
      <c r="K171" s="4" t="n">
        <v>14.2984</v>
      </c>
      <c r="L171" s="4" t="n">
        <v>13.5929</v>
      </c>
      <c r="M171" s="5" t="n">
        <v>0</v>
      </c>
      <c r="N171" s="5" t="n">
        <v>1</v>
      </c>
      <c r="O171" s="5" t="n">
        <v>0</v>
      </c>
      <c r="P171" s="5" t="n">
        <v>0</v>
      </c>
    </row>
    <row r="172" customFormat="false" ht="15" hidden="false" customHeight="false" outlineLevel="0" collapsed="false">
      <c r="A172" s="2" t="s">
        <v>64</v>
      </c>
      <c r="B172" s="2" t="s">
        <v>65</v>
      </c>
      <c r="C172" s="2" t="s">
        <v>24</v>
      </c>
      <c r="D172" s="2" t="s">
        <v>25</v>
      </c>
      <c r="E172" s="3" t="n">
        <v>278653.2</v>
      </c>
      <c r="F172" s="3" t="n">
        <v>732951</v>
      </c>
      <c r="G172" s="3" t="n">
        <v>476003.9</v>
      </c>
      <c r="H172" s="3" t="n">
        <v>11330.6</v>
      </c>
      <c r="I172" s="4" t="n">
        <v>12.5377</v>
      </c>
      <c r="J172" s="4" t="n">
        <v>9.3353</v>
      </c>
      <c r="K172" s="4" t="n">
        <v>13.5048</v>
      </c>
      <c r="L172" s="4" t="n">
        <v>13.0732</v>
      </c>
      <c r="M172" s="5" t="n">
        <v>0</v>
      </c>
      <c r="N172" s="5" t="n">
        <v>1</v>
      </c>
      <c r="O172" s="5" t="n">
        <v>0</v>
      </c>
      <c r="P172" s="5" t="n">
        <v>0</v>
      </c>
    </row>
    <row r="173" customFormat="false" ht="15" hidden="false" customHeight="false" outlineLevel="0" collapsed="false">
      <c r="A173" s="2" t="s">
        <v>18</v>
      </c>
      <c r="B173" s="2" t="s">
        <v>19</v>
      </c>
      <c r="C173" s="2" t="s">
        <v>87</v>
      </c>
      <c r="D173" s="2" t="s">
        <v>88</v>
      </c>
      <c r="E173" s="3" t="n">
        <v>4965534.1</v>
      </c>
      <c r="F173" s="3" t="n">
        <v>2625843.8</v>
      </c>
      <c r="G173" s="3" t="n">
        <v>1177003.4</v>
      </c>
      <c r="H173" s="3" t="n">
        <v>16524.7</v>
      </c>
      <c r="I173" s="4" t="n">
        <v>15.418</v>
      </c>
      <c r="J173" s="4" t="n">
        <v>9.7126</v>
      </c>
      <c r="K173" s="4" t="n">
        <v>14.7809</v>
      </c>
      <c r="L173" s="4" t="n">
        <v>13.9785</v>
      </c>
      <c r="M173" s="5" t="n">
        <v>0</v>
      </c>
      <c r="N173" s="5" t="n">
        <v>1</v>
      </c>
      <c r="O173" s="5" t="n">
        <v>0</v>
      </c>
      <c r="P173" s="5" t="n">
        <v>1</v>
      </c>
    </row>
    <row r="174" customFormat="false" ht="15" hidden="false" customHeight="false" outlineLevel="0" collapsed="false">
      <c r="A174" s="2" t="s">
        <v>20</v>
      </c>
      <c r="B174" s="2" t="s">
        <v>21</v>
      </c>
      <c r="C174" s="2" t="s">
        <v>91</v>
      </c>
      <c r="D174" s="2" t="s">
        <v>92</v>
      </c>
      <c r="E174" s="3" t="n">
        <v>54475.1</v>
      </c>
      <c r="F174" s="3" t="n">
        <v>554078.6</v>
      </c>
      <c r="G174" s="3" t="n">
        <v>634618.4</v>
      </c>
      <c r="H174" s="3" t="n">
        <v>16371.1</v>
      </c>
      <c r="I174" s="4" t="n">
        <v>10.9055</v>
      </c>
      <c r="J174" s="4" t="n">
        <v>9.7033</v>
      </c>
      <c r="K174" s="4" t="n">
        <v>13.2251</v>
      </c>
      <c r="L174" s="4" t="n">
        <v>13.3608</v>
      </c>
      <c r="M174" s="5" t="n">
        <v>0</v>
      </c>
      <c r="N174" s="5" t="n">
        <v>0</v>
      </c>
      <c r="O174" s="5" t="n">
        <v>0</v>
      </c>
      <c r="P174" s="5" t="n">
        <v>0</v>
      </c>
    </row>
    <row r="175" customFormat="false" ht="15" hidden="false" customHeight="false" outlineLevel="0" collapsed="false">
      <c r="A175" s="2" t="s">
        <v>84</v>
      </c>
      <c r="B175" s="2" t="s">
        <v>84</v>
      </c>
      <c r="C175" s="2" t="s">
        <v>76</v>
      </c>
      <c r="D175" s="2" t="s">
        <v>77</v>
      </c>
      <c r="E175" s="3" t="n">
        <v>53419818</v>
      </c>
      <c r="F175" s="3" t="n">
        <v>17712704</v>
      </c>
      <c r="G175" s="3" t="n">
        <v>1873959.5</v>
      </c>
      <c r="H175" s="3" t="n">
        <v>10645.6</v>
      </c>
      <c r="I175" s="4" t="n">
        <v>17.7937</v>
      </c>
      <c r="J175" s="4" t="n">
        <v>9.2729</v>
      </c>
      <c r="K175" s="4" t="n">
        <v>16.6898</v>
      </c>
      <c r="L175" s="4" t="n">
        <v>14.4436</v>
      </c>
      <c r="M175" s="5" t="n">
        <v>0</v>
      </c>
      <c r="N175" s="5" t="n">
        <v>1</v>
      </c>
      <c r="O175" s="5" t="n">
        <v>1</v>
      </c>
      <c r="P175" s="5" t="n">
        <v>0</v>
      </c>
    </row>
    <row r="176" customFormat="false" ht="15" hidden="false" customHeight="false" outlineLevel="0" collapsed="false">
      <c r="A176" s="2" t="s">
        <v>52</v>
      </c>
      <c r="B176" s="2" t="s">
        <v>53</v>
      </c>
      <c r="C176" s="2" t="s">
        <v>80</v>
      </c>
      <c r="D176" s="2" t="s">
        <v>81</v>
      </c>
      <c r="E176" s="3" t="n">
        <v>1583929.3</v>
      </c>
      <c r="F176" s="3" t="n">
        <v>743163.9</v>
      </c>
      <c r="G176" s="3" t="n">
        <v>1620789.4</v>
      </c>
      <c r="H176" s="3" t="n">
        <v>14030.9</v>
      </c>
      <c r="I176" s="4" t="n">
        <v>14.2754</v>
      </c>
      <c r="J176" s="4" t="n">
        <v>9.549</v>
      </c>
      <c r="K176" s="4" t="n">
        <v>13.5187</v>
      </c>
      <c r="L176" s="4" t="n">
        <v>14.2984</v>
      </c>
      <c r="M176" s="5" t="n">
        <v>0</v>
      </c>
      <c r="N176" s="5" t="n">
        <v>1</v>
      </c>
      <c r="O176" s="5" t="n">
        <v>0</v>
      </c>
      <c r="P176" s="5" t="n">
        <v>0</v>
      </c>
    </row>
    <row r="177" customFormat="false" ht="15" hidden="false" customHeight="false" outlineLevel="0" collapsed="false">
      <c r="A177" s="2" t="s">
        <v>68</v>
      </c>
      <c r="B177" s="2" t="s">
        <v>69</v>
      </c>
      <c r="C177" s="2" t="s">
        <v>66</v>
      </c>
      <c r="D177" s="2" t="s">
        <v>67</v>
      </c>
      <c r="E177" s="3" t="n">
        <v>106623.4</v>
      </c>
      <c r="F177" s="3" t="n">
        <v>1306574.1</v>
      </c>
      <c r="G177" s="3" t="n">
        <v>2905474.5</v>
      </c>
      <c r="H177" s="3" t="n">
        <v>11806.2</v>
      </c>
      <c r="I177" s="4" t="n">
        <v>11.5771</v>
      </c>
      <c r="J177" s="4" t="n">
        <v>9.3764</v>
      </c>
      <c r="K177" s="4" t="n">
        <v>14.0829</v>
      </c>
      <c r="L177" s="4" t="n">
        <v>14.8821</v>
      </c>
      <c r="M177" s="5" t="n">
        <v>0</v>
      </c>
      <c r="N177" s="5" t="n">
        <v>0</v>
      </c>
      <c r="O177" s="5" t="n">
        <v>0</v>
      </c>
      <c r="P177" s="5" t="n">
        <v>0</v>
      </c>
    </row>
    <row r="178" customFormat="false" ht="15" hidden="false" customHeight="false" outlineLevel="0" collapsed="false">
      <c r="A178" s="2" t="s">
        <v>76</v>
      </c>
      <c r="B178" s="2" t="s">
        <v>77</v>
      </c>
      <c r="C178" s="2" t="s">
        <v>89</v>
      </c>
      <c r="D178" s="2" t="s">
        <v>90</v>
      </c>
      <c r="E178" s="3" t="n">
        <v>10608537.9</v>
      </c>
      <c r="F178" s="3" t="n">
        <v>1873959.5</v>
      </c>
      <c r="G178" s="3" t="n">
        <v>2288709</v>
      </c>
      <c r="H178" s="3" t="n">
        <v>11749</v>
      </c>
      <c r="I178" s="4" t="n">
        <v>16.1772</v>
      </c>
      <c r="J178" s="4" t="n">
        <v>9.3715</v>
      </c>
      <c r="K178" s="4" t="n">
        <v>14.4436</v>
      </c>
      <c r="L178" s="4" t="n">
        <v>14.6435</v>
      </c>
      <c r="M178" s="5" t="n">
        <v>0</v>
      </c>
      <c r="N178" s="5" t="n">
        <v>0</v>
      </c>
      <c r="O178" s="5" t="n">
        <v>0</v>
      </c>
      <c r="P178" s="5" t="n">
        <v>0</v>
      </c>
    </row>
    <row r="179" customFormat="false" ht="15" hidden="false" customHeight="false" outlineLevel="0" collapsed="false">
      <c r="A179" s="2" t="s">
        <v>76</v>
      </c>
      <c r="B179" s="2" t="s">
        <v>77</v>
      </c>
      <c r="C179" s="2" t="s">
        <v>82</v>
      </c>
      <c r="D179" s="2" t="s">
        <v>83</v>
      </c>
      <c r="E179" s="3" t="n">
        <v>663306.6</v>
      </c>
      <c r="F179" s="3" t="n">
        <v>1873959.5</v>
      </c>
      <c r="G179" s="3" t="n">
        <v>822121.3</v>
      </c>
      <c r="H179" s="3" t="n">
        <v>12112.8</v>
      </c>
      <c r="I179" s="4" t="n">
        <v>13.405</v>
      </c>
      <c r="J179" s="4" t="n">
        <v>9.402</v>
      </c>
      <c r="K179" s="4" t="n">
        <v>14.4436</v>
      </c>
      <c r="L179" s="4" t="n">
        <v>13.6196</v>
      </c>
      <c r="M179" s="5" t="n">
        <v>0</v>
      </c>
      <c r="N179" s="5" t="n">
        <v>1</v>
      </c>
      <c r="O179" s="5" t="n">
        <v>0</v>
      </c>
      <c r="P179" s="5" t="n">
        <v>0</v>
      </c>
    </row>
    <row r="180" customFormat="false" ht="15" hidden="false" customHeight="false" outlineLevel="0" collapsed="false">
      <c r="A180" s="2" t="s">
        <v>85</v>
      </c>
      <c r="B180" s="2" t="s">
        <v>86</v>
      </c>
      <c r="C180" s="2" t="s">
        <v>72</v>
      </c>
      <c r="D180" s="2" t="s">
        <v>73</v>
      </c>
      <c r="E180" s="3" t="n">
        <v>66408.2</v>
      </c>
      <c r="F180" s="3" t="n">
        <v>672752.5</v>
      </c>
      <c r="G180" s="3" t="n">
        <v>800424.5</v>
      </c>
      <c r="H180" s="3" t="n">
        <v>11200.5</v>
      </c>
      <c r="I180" s="4" t="n">
        <v>11.1036</v>
      </c>
      <c r="J180" s="4" t="n">
        <v>9.3237</v>
      </c>
      <c r="K180" s="4" t="n">
        <v>13.4191</v>
      </c>
      <c r="L180" s="4" t="n">
        <v>13.5929</v>
      </c>
      <c r="M180" s="5" t="n">
        <v>0</v>
      </c>
      <c r="N180" s="5" t="n">
        <v>1</v>
      </c>
      <c r="O180" s="5" t="n">
        <v>0</v>
      </c>
      <c r="P180" s="5" t="n">
        <v>0</v>
      </c>
    </row>
    <row r="181" customFormat="false" ht="15" hidden="false" customHeight="false" outlineLevel="0" collapsed="false">
      <c r="A181" s="2" t="s">
        <v>85</v>
      </c>
      <c r="B181" s="2" t="s">
        <v>86</v>
      </c>
      <c r="C181" s="2" t="s">
        <v>76</v>
      </c>
      <c r="D181" s="2" t="s">
        <v>77</v>
      </c>
      <c r="E181" s="3" t="n">
        <v>1517312.5</v>
      </c>
      <c r="F181" s="3" t="n">
        <v>672752.5</v>
      </c>
      <c r="G181" s="3" t="n">
        <v>1873959.5</v>
      </c>
      <c r="H181" s="3" t="n">
        <v>12782.1</v>
      </c>
      <c r="I181" s="4" t="n">
        <v>14.2325</v>
      </c>
      <c r="J181" s="4" t="n">
        <v>9.4558</v>
      </c>
      <c r="K181" s="4" t="n">
        <v>13.4191</v>
      </c>
      <c r="L181" s="4" t="n">
        <v>14.4436</v>
      </c>
      <c r="M181" s="5" t="n">
        <v>0</v>
      </c>
      <c r="N181" s="5" t="n">
        <v>1</v>
      </c>
      <c r="O181" s="5" t="n">
        <v>0</v>
      </c>
      <c r="P181" s="5" t="n">
        <v>0</v>
      </c>
    </row>
    <row r="182" customFormat="false" ht="15" hidden="false" customHeight="false" outlineLevel="0" collapsed="false">
      <c r="A182" s="2" t="s">
        <v>64</v>
      </c>
      <c r="B182" s="2" t="s">
        <v>65</v>
      </c>
      <c r="C182" s="2" t="s">
        <v>62</v>
      </c>
      <c r="D182" s="2" t="s">
        <v>63</v>
      </c>
      <c r="E182" s="3" t="n">
        <v>1671599.5</v>
      </c>
      <c r="F182" s="3" t="n">
        <v>732951</v>
      </c>
      <c r="G182" s="3" t="n">
        <v>848082.2</v>
      </c>
      <c r="H182" s="3" t="n">
        <v>11444.8</v>
      </c>
      <c r="I182" s="4" t="n">
        <v>14.3293</v>
      </c>
      <c r="J182" s="4" t="n">
        <v>9.3453</v>
      </c>
      <c r="K182" s="4" t="n">
        <v>13.5048</v>
      </c>
      <c r="L182" s="4" t="n">
        <v>13.6507</v>
      </c>
      <c r="M182" s="5" t="n">
        <v>0</v>
      </c>
      <c r="N182" s="5" t="n">
        <v>0</v>
      </c>
      <c r="O182" s="5" t="n">
        <v>0</v>
      </c>
      <c r="P182" s="5" t="n">
        <v>0</v>
      </c>
    </row>
    <row r="183" customFormat="false" ht="15" hidden="false" customHeight="false" outlineLevel="0" collapsed="false">
      <c r="A183" s="2" t="s">
        <v>40</v>
      </c>
      <c r="B183" s="2" t="s">
        <v>41</v>
      </c>
      <c r="C183" s="2" t="s">
        <v>46</v>
      </c>
      <c r="D183" s="2" t="s">
        <v>47</v>
      </c>
      <c r="E183" s="3" t="n">
        <v>728617</v>
      </c>
      <c r="F183" s="3" t="n">
        <v>558580.2</v>
      </c>
      <c r="G183" s="3" t="n">
        <v>2741298</v>
      </c>
      <c r="H183" s="3" t="n">
        <v>11260.2</v>
      </c>
      <c r="I183" s="4" t="n">
        <v>13.4989</v>
      </c>
      <c r="J183" s="4" t="n">
        <v>9.329</v>
      </c>
      <c r="K183" s="4" t="n">
        <v>13.2332</v>
      </c>
      <c r="L183" s="4" t="n">
        <v>14.8239</v>
      </c>
      <c r="M183" s="5" t="n">
        <v>0</v>
      </c>
      <c r="N183" s="5" t="n">
        <v>1</v>
      </c>
      <c r="O183" s="5" t="n">
        <v>0</v>
      </c>
      <c r="P183" s="5" t="n">
        <v>0</v>
      </c>
    </row>
    <row r="184" customFormat="false" ht="15" hidden="false" customHeight="false" outlineLevel="0" collapsed="false">
      <c r="A184" s="2" t="s">
        <v>87</v>
      </c>
      <c r="B184" s="2" t="s">
        <v>88</v>
      </c>
      <c r="C184" s="2" t="s">
        <v>91</v>
      </c>
      <c r="D184" s="2" t="s">
        <v>92</v>
      </c>
      <c r="E184" s="3" t="n">
        <v>41694.4</v>
      </c>
      <c r="F184" s="3" t="n">
        <v>1177003.4</v>
      </c>
      <c r="G184" s="3" t="n">
        <v>634618.4</v>
      </c>
      <c r="H184" s="3" t="n">
        <v>14827</v>
      </c>
      <c r="I184" s="4" t="n">
        <v>10.6381</v>
      </c>
      <c r="J184" s="4" t="n">
        <v>9.6042</v>
      </c>
      <c r="K184" s="4" t="n">
        <v>13.9785</v>
      </c>
      <c r="L184" s="4" t="n">
        <v>13.3608</v>
      </c>
      <c r="M184" s="5" t="n">
        <v>0</v>
      </c>
      <c r="N184" s="5" t="n">
        <v>0</v>
      </c>
      <c r="O184" s="5" t="n">
        <v>0</v>
      </c>
      <c r="P184" s="5" t="n">
        <v>0</v>
      </c>
    </row>
    <row r="185" customFormat="false" ht="15" hidden="false" customHeight="false" outlineLevel="0" collapsed="false">
      <c r="A185" s="2" t="s">
        <v>22</v>
      </c>
      <c r="B185" s="2" t="s">
        <v>23</v>
      </c>
      <c r="C185" s="2" t="s">
        <v>42</v>
      </c>
      <c r="D185" s="2" t="s">
        <v>43</v>
      </c>
      <c r="E185" s="3" t="n">
        <v>2486657.1</v>
      </c>
      <c r="F185" s="3" t="n">
        <v>569957.4</v>
      </c>
      <c r="G185" s="3" t="n">
        <v>1667510.2</v>
      </c>
      <c r="H185" s="3" t="n">
        <v>10523.2</v>
      </c>
      <c r="I185" s="4" t="n">
        <v>14.7264</v>
      </c>
      <c r="J185" s="4" t="n">
        <v>9.2613</v>
      </c>
      <c r="K185" s="4" t="n">
        <v>13.2533</v>
      </c>
      <c r="L185" s="4" t="n">
        <v>14.3268</v>
      </c>
      <c r="M185" s="5" t="n">
        <v>0</v>
      </c>
      <c r="N185" s="5" t="n">
        <v>0</v>
      </c>
      <c r="O185" s="5" t="n">
        <v>0</v>
      </c>
      <c r="P185" s="5" t="n">
        <v>0</v>
      </c>
    </row>
    <row r="186" customFormat="false" ht="15" hidden="false" customHeight="false" outlineLevel="0" collapsed="false">
      <c r="A186" s="2" t="s">
        <v>68</v>
      </c>
      <c r="B186" s="2" t="s">
        <v>69</v>
      </c>
      <c r="C186" s="2" t="s">
        <v>91</v>
      </c>
      <c r="D186" s="2" t="s">
        <v>92</v>
      </c>
      <c r="E186" s="3" t="n">
        <v>1036.8</v>
      </c>
      <c r="F186" s="3" t="n">
        <v>1306574.1</v>
      </c>
      <c r="G186" s="3" t="n">
        <v>634618.4</v>
      </c>
      <c r="H186" s="3" t="n">
        <v>12841.5</v>
      </c>
      <c r="I186" s="4" t="n">
        <v>6.9439</v>
      </c>
      <c r="J186" s="4" t="n">
        <v>9.4604</v>
      </c>
      <c r="K186" s="4" t="n">
        <v>14.0829</v>
      </c>
      <c r="L186" s="4" t="n">
        <v>13.3608</v>
      </c>
      <c r="M186" s="5" t="n">
        <v>0</v>
      </c>
      <c r="N186" s="5" t="n">
        <v>0</v>
      </c>
      <c r="O186" s="5" t="n">
        <v>0</v>
      </c>
      <c r="P186" s="5" t="n">
        <v>0</v>
      </c>
    </row>
    <row r="187" customFormat="false" ht="15" hidden="false" customHeight="false" outlineLevel="0" collapsed="false">
      <c r="A187" s="2" t="s">
        <v>32</v>
      </c>
      <c r="B187" s="2" t="s">
        <v>33</v>
      </c>
      <c r="C187" s="2" t="s">
        <v>89</v>
      </c>
      <c r="D187" s="2" t="s">
        <v>90</v>
      </c>
      <c r="E187" s="3" t="n">
        <v>60932834.1</v>
      </c>
      <c r="F187" s="3" t="n">
        <v>17797724</v>
      </c>
      <c r="G187" s="3" t="n">
        <v>2288709</v>
      </c>
      <c r="H187" s="3" t="n">
        <v>12765.1</v>
      </c>
      <c r="I187" s="4" t="n">
        <v>17.9253</v>
      </c>
      <c r="J187" s="4" t="n">
        <v>9.4545</v>
      </c>
      <c r="K187" s="4" t="n">
        <v>16.6946</v>
      </c>
      <c r="L187" s="4" t="n">
        <v>14.6435</v>
      </c>
      <c r="M187" s="5" t="n">
        <v>0</v>
      </c>
      <c r="N187" s="5" t="n">
        <v>0</v>
      </c>
      <c r="O187" s="5" t="n">
        <v>0</v>
      </c>
      <c r="P187" s="5" t="n">
        <v>0</v>
      </c>
    </row>
    <row r="188" customFormat="false" ht="15" hidden="false" customHeight="false" outlineLevel="0" collapsed="false">
      <c r="A188" s="2" t="s">
        <v>87</v>
      </c>
      <c r="B188" s="2" t="s">
        <v>88</v>
      </c>
      <c r="C188" s="2" t="s">
        <v>85</v>
      </c>
      <c r="D188" s="2" t="s">
        <v>86</v>
      </c>
      <c r="E188" s="3" t="n">
        <v>729235.5</v>
      </c>
      <c r="F188" s="3" t="n">
        <v>1177003.4</v>
      </c>
      <c r="G188" s="3" t="n">
        <v>672752.5</v>
      </c>
      <c r="H188" s="3" t="n">
        <v>10517.2</v>
      </c>
      <c r="I188" s="4" t="n">
        <v>13.4998</v>
      </c>
      <c r="J188" s="4" t="n">
        <v>9.2608</v>
      </c>
      <c r="K188" s="4" t="n">
        <v>13.9785</v>
      </c>
      <c r="L188" s="4" t="n">
        <v>13.4191</v>
      </c>
      <c r="M188" s="5" t="n">
        <v>0</v>
      </c>
      <c r="N188" s="5" t="n">
        <v>1</v>
      </c>
      <c r="O188" s="5" t="n">
        <v>0</v>
      </c>
      <c r="P188" s="5" t="n">
        <v>0</v>
      </c>
    </row>
    <row r="189" customFormat="false" ht="15" hidden="false" customHeight="false" outlineLevel="0" collapsed="false">
      <c r="A189" s="2" t="s">
        <v>64</v>
      </c>
      <c r="B189" s="2" t="s">
        <v>65</v>
      </c>
      <c r="C189" s="2" t="s">
        <v>78</v>
      </c>
      <c r="D189" s="2" t="s">
        <v>79</v>
      </c>
      <c r="E189" s="3" t="n">
        <v>385024</v>
      </c>
      <c r="F189" s="3" t="n">
        <v>732951</v>
      </c>
      <c r="G189" s="3" t="n">
        <v>5162353.5</v>
      </c>
      <c r="H189" s="3" t="n">
        <v>18250.7</v>
      </c>
      <c r="I189" s="4" t="n">
        <v>12.8611</v>
      </c>
      <c r="J189" s="4" t="n">
        <v>9.812</v>
      </c>
      <c r="K189" s="4" t="n">
        <v>13.5048</v>
      </c>
      <c r="L189" s="4" t="n">
        <v>15.4569</v>
      </c>
      <c r="M189" s="5" t="n">
        <v>0</v>
      </c>
      <c r="N189" s="5" t="n">
        <v>0</v>
      </c>
      <c r="O189" s="5" t="n">
        <v>0</v>
      </c>
      <c r="P189" s="5" t="n">
        <v>0</v>
      </c>
    </row>
    <row r="190" customFormat="false" ht="15" hidden="false" customHeight="false" outlineLevel="0" collapsed="false">
      <c r="A190" s="2" t="s">
        <v>84</v>
      </c>
      <c r="B190" s="2" t="s">
        <v>84</v>
      </c>
      <c r="C190" s="2" t="s">
        <v>74</v>
      </c>
      <c r="D190" s="2" t="s">
        <v>75</v>
      </c>
      <c r="E190" s="3" t="n">
        <v>2792969.7</v>
      </c>
      <c r="F190" s="3" t="n">
        <v>17712704</v>
      </c>
      <c r="G190" s="3" t="n">
        <v>1045692.6</v>
      </c>
      <c r="H190" s="3" t="n">
        <v>12199.9</v>
      </c>
      <c r="I190" s="4" t="n">
        <v>14.8426</v>
      </c>
      <c r="J190" s="4" t="n">
        <v>9.4092</v>
      </c>
      <c r="K190" s="4" t="n">
        <v>16.6898</v>
      </c>
      <c r="L190" s="4" t="n">
        <v>13.8602</v>
      </c>
      <c r="M190" s="5" t="n">
        <v>0</v>
      </c>
      <c r="N190" s="5" t="n">
        <v>1</v>
      </c>
      <c r="O190" s="5" t="n">
        <v>0</v>
      </c>
      <c r="P190" s="5" t="n">
        <v>0</v>
      </c>
    </row>
    <row r="191" customFormat="false" ht="15" hidden="false" customHeight="false" outlineLevel="0" collapsed="false">
      <c r="A191" s="2" t="s">
        <v>22</v>
      </c>
      <c r="B191" s="2" t="s">
        <v>23</v>
      </c>
      <c r="C191" s="2" t="s">
        <v>82</v>
      </c>
      <c r="D191" s="2" t="s">
        <v>83</v>
      </c>
      <c r="E191" s="3" t="n">
        <v>195159.9</v>
      </c>
      <c r="F191" s="3" t="n">
        <v>569957.4</v>
      </c>
      <c r="G191" s="3" t="n">
        <v>822121.3</v>
      </c>
      <c r="H191" s="3" t="n">
        <v>10851.5</v>
      </c>
      <c r="I191" s="4" t="n">
        <v>12.1816</v>
      </c>
      <c r="J191" s="4" t="n">
        <v>9.2921</v>
      </c>
      <c r="K191" s="4" t="n">
        <v>13.2533</v>
      </c>
      <c r="L191" s="4" t="n">
        <v>13.6196</v>
      </c>
      <c r="M191" s="5" t="n">
        <v>0</v>
      </c>
      <c r="N191" s="5" t="n">
        <v>1</v>
      </c>
      <c r="O191" s="5" t="n">
        <v>0</v>
      </c>
      <c r="P191" s="5" t="n">
        <v>0</v>
      </c>
    </row>
    <row r="192" customFormat="false" ht="15" hidden="false" customHeight="false" outlineLevel="0" collapsed="false">
      <c r="A192" s="2" t="s">
        <v>60</v>
      </c>
      <c r="B192" s="2" t="s">
        <v>61</v>
      </c>
      <c r="C192" s="2" t="s">
        <v>87</v>
      </c>
      <c r="D192" s="2" t="s">
        <v>88</v>
      </c>
      <c r="E192" s="3" t="n">
        <v>1765606.1</v>
      </c>
      <c r="F192" s="3" t="n">
        <v>442183.8</v>
      </c>
      <c r="G192" s="3" t="n">
        <v>1177003.4</v>
      </c>
      <c r="H192" s="3" t="n">
        <v>15299.9</v>
      </c>
      <c r="I192" s="4" t="n">
        <v>14.384</v>
      </c>
      <c r="J192" s="4" t="n">
        <v>9.6356</v>
      </c>
      <c r="K192" s="4" t="n">
        <v>12.9995</v>
      </c>
      <c r="L192" s="4" t="n">
        <v>13.9785</v>
      </c>
      <c r="M192" s="5" t="n">
        <v>0</v>
      </c>
      <c r="N192" s="5" t="n">
        <v>0</v>
      </c>
      <c r="O192" s="5" t="n">
        <v>0</v>
      </c>
      <c r="P192" s="5" t="n">
        <v>0</v>
      </c>
    </row>
    <row r="193" customFormat="false" ht="15" hidden="false" customHeight="false" outlineLevel="0" collapsed="false">
      <c r="A193" s="2" t="s">
        <v>52</v>
      </c>
      <c r="B193" s="2" t="s">
        <v>53</v>
      </c>
      <c r="C193" s="2" t="s">
        <v>91</v>
      </c>
      <c r="D193" s="2" t="s">
        <v>92</v>
      </c>
      <c r="E193" s="3" t="n">
        <v>162335.7</v>
      </c>
      <c r="F193" s="3" t="n">
        <v>743163.9</v>
      </c>
      <c r="G193" s="3" t="n">
        <v>634618.4</v>
      </c>
      <c r="H193" s="3" t="n">
        <v>18767.5</v>
      </c>
      <c r="I193" s="4" t="n">
        <v>11.9974</v>
      </c>
      <c r="J193" s="4" t="n">
        <v>9.8399</v>
      </c>
      <c r="K193" s="4" t="n">
        <v>13.5187</v>
      </c>
      <c r="L193" s="4" t="n">
        <v>13.3608</v>
      </c>
      <c r="M193" s="5" t="n">
        <v>0</v>
      </c>
      <c r="N193" s="5" t="n">
        <v>0</v>
      </c>
      <c r="O193" s="5" t="n">
        <v>0</v>
      </c>
      <c r="P193" s="5" t="n">
        <v>0</v>
      </c>
    </row>
    <row r="194" customFormat="false" ht="15" hidden="false" customHeight="false" outlineLevel="0" collapsed="false">
      <c r="A194" s="2" t="s">
        <v>64</v>
      </c>
      <c r="B194" s="2" t="s">
        <v>65</v>
      </c>
      <c r="C194" s="2" t="s">
        <v>56</v>
      </c>
      <c r="D194" s="2" t="s">
        <v>57</v>
      </c>
      <c r="E194" s="3" t="n">
        <v>685420.1</v>
      </c>
      <c r="F194" s="3" t="n">
        <v>732951</v>
      </c>
      <c r="G194" s="3" t="n">
        <v>3331626.2</v>
      </c>
      <c r="H194" s="3" t="n">
        <v>14447.6</v>
      </c>
      <c r="I194" s="4" t="n">
        <v>13.4378</v>
      </c>
      <c r="J194" s="4" t="n">
        <v>9.5783</v>
      </c>
      <c r="K194" s="4" t="n">
        <v>13.5048</v>
      </c>
      <c r="L194" s="4" t="n">
        <v>15.019</v>
      </c>
      <c r="M194" s="5" t="n">
        <v>0</v>
      </c>
      <c r="N194" s="5" t="n">
        <v>0</v>
      </c>
      <c r="O194" s="5" t="n">
        <v>0</v>
      </c>
      <c r="P194" s="5" t="n">
        <v>0</v>
      </c>
    </row>
    <row r="195" customFormat="false" ht="15" hidden="false" customHeight="false" outlineLevel="0" collapsed="false">
      <c r="A195" s="2" t="s">
        <v>82</v>
      </c>
      <c r="B195" s="2" t="s">
        <v>83</v>
      </c>
      <c r="C195" s="2" t="s">
        <v>76</v>
      </c>
      <c r="D195" s="2" t="s">
        <v>77</v>
      </c>
      <c r="E195" s="3" t="n">
        <v>748177.6</v>
      </c>
      <c r="F195" s="3" t="n">
        <v>822121.3</v>
      </c>
      <c r="G195" s="3" t="n">
        <v>1873959.5</v>
      </c>
      <c r="H195" s="3" t="n">
        <v>12112.8</v>
      </c>
      <c r="I195" s="4" t="n">
        <v>13.5254</v>
      </c>
      <c r="J195" s="4" t="n">
        <v>9.402</v>
      </c>
      <c r="K195" s="4" t="n">
        <v>13.6196</v>
      </c>
      <c r="L195" s="4" t="n">
        <v>14.4436</v>
      </c>
      <c r="M195" s="5" t="n">
        <v>0</v>
      </c>
      <c r="N195" s="5" t="n">
        <v>1</v>
      </c>
      <c r="O195" s="5" t="n">
        <v>0</v>
      </c>
      <c r="P195" s="5" t="n">
        <v>0</v>
      </c>
    </row>
    <row r="196" customFormat="false" ht="15" hidden="false" customHeight="false" outlineLevel="0" collapsed="false">
      <c r="A196" s="2" t="s">
        <v>40</v>
      </c>
      <c r="B196" s="2" t="s">
        <v>41</v>
      </c>
      <c r="C196" s="2" t="s">
        <v>72</v>
      </c>
      <c r="D196" s="2" t="s">
        <v>73</v>
      </c>
      <c r="E196" s="3" t="n">
        <v>357050</v>
      </c>
      <c r="F196" s="3" t="n">
        <v>558580.2</v>
      </c>
      <c r="G196" s="3" t="n">
        <v>800424.5</v>
      </c>
      <c r="H196" s="3" t="n">
        <v>10766.9</v>
      </c>
      <c r="I196" s="4" t="n">
        <v>12.7856</v>
      </c>
      <c r="J196" s="4" t="n">
        <v>9.2842</v>
      </c>
      <c r="K196" s="4" t="n">
        <v>13.2332</v>
      </c>
      <c r="L196" s="4" t="n">
        <v>13.5929</v>
      </c>
      <c r="M196" s="5" t="n">
        <v>0</v>
      </c>
      <c r="N196" s="5" t="n">
        <v>1</v>
      </c>
      <c r="O196" s="5" t="n">
        <v>0</v>
      </c>
      <c r="P196" s="5" t="n">
        <v>0</v>
      </c>
    </row>
    <row r="197" customFormat="false" ht="15" hidden="false" customHeight="false" outlineLevel="0" collapsed="false">
      <c r="A197" s="2" t="s">
        <v>89</v>
      </c>
      <c r="B197" s="2" t="s">
        <v>90</v>
      </c>
      <c r="C197" s="2" t="s">
        <v>52</v>
      </c>
      <c r="D197" s="2" t="s">
        <v>53</v>
      </c>
      <c r="E197" s="3" t="n">
        <v>399559.5</v>
      </c>
      <c r="F197" s="3" t="n">
        <v>2288709</v>
      </c>
      <c r="G197" s="3" t="n">
        <v>743163.9</v>
      </c>
      <c r="H197" s="3" t="n">
        <v>16031</v>
      </c>
      <c r="I197" s="4" t="n">
        <v>12.8981</v>
      </c>
      <c r="J197" s="4" t="n">
        <v>9.6823</v>
      </c>
      <c r="K197" s="4" t="n">
        <v>14.6435</v>
      </c>
      <c r="L197" s="4" t="n">
        <v>13.5187</v>
      </c>
      <c r="M197" s="5" t="n">
        <v>0</v>
      </c>
      <c r="N197" s="5" t="n">
        <v>0</v>
      </c>
      <c r="O197" s="5" t="n">
        <v>0</v>
      </c>
      <c r="P197" s="5" t="n">
        <v>0</v>
      </c>
    </row>
    <row r="198" customFormat="false" ht="15" hidden="false" customHeight="false" outlineLevel="0" collapsed="false">
      <c r="A198" s="2" t="s">
        <v>66</v>
      </c>
      <c r="B198" s="2" t="s">
        <v>67</v>
      </c>
      <c r="C198" s="2" t="s">
        <v>34</v>
      </c>
      <c r="D198" s="2" t="s">
        <v>35</v>
      </c>
      <c r="E198" s="3" t="n">
        <v>2035262.2</v>
      </c>
      <c r="F198" s="3" t="n">
        <v>2905474.5</v>
      </c>
      <c r="G198" s="3" t="n">
        <v>1102635</v>
      </c>
      <c r="H198" s="3" t="n">
        <v>16294.6</v>
      </c>
      <c r="I198" s="4" t="n">
        <v>14.5261</v>
      </c>
      <c r="J198" s="4" t="n">
        <v>9.6986</v>
      </c>
      <c r="K198" s="4" t="n">
        <v>14.8821</v>
      </c>
      <c r="L198" s="4" t="n">
        <v>13.9132</v>
      </c>
      <c r="M198" s="5" t="n">
        <v>0</v>
      </c>
      <c r="N198" s="5" t="n">
        <v>1</v>
      </c>
      <c r="O198" s="5" t="n">
        <v>0</v>
      </c>
      <c r="P198" s="5" t="n">
        <v>0</v>
      </c>
    </row>
    <row r="199" customFormat="false" ht="15" hidden="false" customHeight="false" outlineLevel="0" collapsed="false">
      <c r="A199" s="2" t="s">
        <v>87</v>
      </c>
      <c r="B199" s="2" t="s">
        <v>88</v>
      </c>
      <c r="C199" s="2" t="s">
        <v>30</v>
      </c>
      <c r="D199" s="2" t="s">
        <v>31</v>
      </c>
      <c r="E199" s="3" t="n">
        <v>277171.8</v>
      </c>
      <c r="F199" s="3" t="n">
        <v>1177003.4</v>
      </c>
      <c r="G199" s="3" t="n">
        <v>1041614.3</v>
      </c>
      <c r="H199" s="3" t="n">
        <v>15226.5</v>
      </c>
      <c r="I199" s="4" t="n">
        <v>12.5324</v>
      </c>
      <c r="J199" s="4" t="n">
        <v>9.6308</v>
      </c>
      <c r="K199" s="4" t="n">
        <v>13.9785</v>
      </c>
      <c r="L199" s="4" t="n">
        <v>13.8563</v>
      </c>
      <c r="M199" s="5" t="n">
        <v>0</v>
      </c>
      <c r="N199" s="5" t="n">
        <v>0</v>
      </c>
      <c r="O199" s="5" t="n">
        <v>0</v>
      </c>
      <c r="P199" s="5" t="n">
        <v>0</v>
      </c>
    </row>
    <row r="200" customFormat="false" ht="15" hidden="false" customHeight="false" outlineLevel="0" collapsed="false">
      <c r="A200" s="2" t="s">
        <v>58</v>
      </c>
      <c r="B200" s="2" t="s">
        <v>59</v>
      </c>
      <c r="C200" s="2" t="s">
        <v>89</v>
      </c>
      <c r="D200" s="2" t="s">
        <v>90</v>
      </c>
      <c r="E200" s="3" t="n">
        <v>135341.2</v>
      </c>
      <c r="F200" s="3" t="n">
        <v>639613.9</v>
      </c>
      <c r="G200" s="3" t="n">
        <v>2288709</v>
      </c>
      <c r="H200" s="3" t="n">
        <v>14153.3</v>
      </c>
      <c r="I200" s="4" t="n">
        <v>11.8156</v>
      </c>
      <c r="J200" s="4" t="n">
        <v>9.5577</v>
      </c>
      <c r="K200" s="4" t="n">
        <v>13.3686</v>
      </c>
      <c r="L200" s="4" t="n">
        <v>14.6435</v>
      </c>
      <c r="M200" s="5" t="n">
        <v>0</v>
      </c>
      <c r="N200" s="5" t="n">
        <v>0</v>
      </c>
      <c r="O200" s="5" t="n">
        <v>0</v>
      </c>
      <c r="P200" s="5" t="n">
        <v>0</v>
      </c>
    </row>
    <row r="201" customFormat="false" ht="15" hidden="false" customHeight="false" outlineLevel="0" collapsed="false">
      <c r="A201" s="2" t="s">
        <v>87</v>
      </c>
      <c r="B201" s="2" t="s">
        <v>88</v>
      </c>
      <c r="C201" s="2" t="s">
        <v>48</v>
      </c>
      <c r="D201" s="2" t="s">
        <v>49</v>
      </c>
      <c r="E201" s="3" t="n">
        <v>332024.4</v>
      </c>
      <c r="F201" s="3" t="n">
        <v>1177003.4</v>
      </c>
      <c r="G201" s="3" t="n">
        <v>1103773.9</v>
      </c>
      <c r="H201" s="3" t="n">
        <v>13850.6</v>
      </c>
      <c r="I201" s="4" t="n">
        <v>12.713</v>
      </c>
      <c r="J201" s="4" t="n">
        <v>9.5361</v>
      </c>
      <c r="K201" s="4" t="n">
        <v>13.9785</v>
      </c>
      <c r="L201" s="4" t="n">
        <v>13.9142</v>
      </c>
      <c r="M201" s="5" t="n">
        <v>0</v>
      </c>
      <c r="N201" s="5" t="n">
        <v>1</v>
      </c>
      <c r="O201" s="5" t="n">
        <v>0</v>
      </c>
      <c r="P201" s="5" t="n">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7" min="2" style="0" width="16"/>
  </cols>
  <sheetData>
    <row r="1" customFormat="false" ht="30" hidden="false" customHeight="true" outlineLevel="0" collapsed="false">
      <c r="A1" s="6" t="s">
        <v>93</v>
      </c>
      <c r="B1" s="6"/>
      <c r="C1" s="6"/>
      <c r="D1" s="6"/>
      <c r="E1" s="6"/>
      <c r="F1" s="6"/>
      <c r="G1" s="6"/>
      <c r="H1" s="6"/>
    </row>
    <row r="2" customFormat="false" ht="19.5" hidden="false" customHeight="true" outlineLevel="0" collapsed="false">
      <c r="A2" s="7" t="s">
        <v>94</v>
      </c>
      <c r="B2" s="7"/>
      <c r="C2" s="7"/>
      <c r="D2" s="7"/>
      <c r="E2" s="7"/>
      <c r="F2" s="7"/>
      <c r="G2" s="7"/>
      <c r="H2" s="7"/>
    </row>
    <row r="4" customFormat="false" ht="69.75" hidden="false" customHeight="true" outlineLevel="0" collapsed="false">
      <c r="A4" s="8" t="s">
        <v>95</v>
      </c>
      <c r="B4" s="8"/>
      <c r="C4" s="8"/>
      <c r="D4" s="8"/>
      <c r="E4" s="8"/>
      <c r="F4" s="8"/>
      <c r="G4" s="8"/>
    </row>
    <row r="6" customFormat="false" ht="21.75" hidden="false" customHeight="true" outlineLevel="0" collapsed="false">
      <c r="A6" s="9" t="s">
        <v>96</v>
      </c>
      <c r="B6" s="9"/>
      <c r="C6" s="9"/>
      <c r="D6" s="9"/>
      <c r="E6" s="9"/>
      <c r="F6" s="9"/>
      <c r="G6" s="9"/>
      <c r="H6" s="9"/>
    </row>
    <row r="7" customFormat="false" ht="60" hidden="false" customHeight="true" outlineLevel="0" collapsed="false">
      <c r="A7" s="10" t="s">
        <v>97</v>
      </c>
      <c r="B7" s="10"/>
      <c r="C7" s="10"/>
      <c r="D7" s="10"/>
      <c r="E7" s="10"/>
      <c r="F7" s="10"/>
      <c r="G7" s="10"/>
    </row>
    <row r="9" customFormat="false" ht="21.75" hidden="false" customHeight="true" outlineLevel="0" collapsed="false">
      <c r="A9" s="9" t="s">
        <v>98</v>
      </c>
      <c r="B9" s="9"/>
      <c r="C9" s="9"/>
      <c r="D9" s="9"/>
      <c r="E9" s="9"/>
      <c r="F9" s="9"/>
      <c r="G9" s="9"/>
      <c r="H9" s="9"/>
    </row>
    <row r="10" customFormat="false" ht="15" hidden="false" customHeight="true" outlineLevel="0" collapsed="false">
      <c r="B10" s="1" t="s">
        <v>99</v>
      </c>
      <c r="C10" s="11" t="s">
        <v>100</v>
      </c>
      <c r="D10" s="11"/>
      <c r="E10" s="11"/>
      <c r="F10" s="11"/>
      <c r="G10" s="11"/>
    </row>
    <row r="11" customFormat="false" ht="33.75" hidden="false" customHeight="true" outlineLevel="0" collapsed="false">
      <c r="B11" s="12" t="s">
        <v>101</v>
      </c>
      <c r="C11" s="13" t="s">
        <v>102</v>
      </c>
      <c r="D11" s="13"/>
      <c r="E11" s="13"/>
      <c r="F11" s="13"/>
      <c r="G11" s="13"/>
    </row>
    <row r="12" customFormat="false" ht="33.75" hidden="false" customHeight="true" outlineLevel="0" collapsed="false">
      <c r="B12" s="12" t="s">
        <v>103</v>
      </c>
      <c r="C12" s="13" t="s">
        <v>104</v>
      </c>
      <c r="D12" s="13"/>
      <c r="E12" s="13"/>
      <c r="F12" s="13"/>
      <c r="G12" s="13"/>
    </row>
    <row r="13" customFormat="false" ht="33.75" hidden="false" customHeight="true" outlineLevel="0" collapsed="false">
      <c r="B13" s="12" t="s">
        <v>105</v>
      </c>
      <c r="C13" s="13" t="s">
        <v>106</v>
      </c>
      <c r="D13" s="13"/>
      <c r="E13" s="13"/>
      <c r="F13" s="13"/>
      <c r="G13" s="13"/>
    </row>
    <row r="14" customFormat="false" ht="33.75" hidden="false" customHeight="true" outlineLevel="0" collapsed="false">
      <c r="B14" s="12" t="s">
        <v>107</v>
      </c>
      <c r="C14" s="13" t="s">
        <v>108</v>
      </c>
      <c r="D14" s="13"/>
      <c r="E14" s="13"/>
      <c r="F14" s="13"/>
      <c r="G14" s="13"/>
    </row>
    <row r="15" customFormat="false" ht="33.75" hidden="false" customHeight="true" outlineLevel="0" collapsed="false">
      <c r="B15" s="12" t="s">
        <v>109</v>
      </c>
      <c r="C15" s="13" t="s">
        <v>110</v>
      </c>
      <c r="D15" s="13"/>
      <c r="E15" s="13"/>
      <c r="F15" s="13"/>
      <c r="G15" s="13"/>
    </row>
    <row r="16" customFormat="false" ht="33.75" hidden="false" customHeight="true" outlineLevel="0" collapsed="false">
      <c r="B16" s="12" t="s">
        <v>111</v>
      </c>
      <c r="C16" s="13" t="s">
        <v>112</v>
      </c>
      <c r="D16" s="13"/>
      <c r="E16" s="13"/>
      <c r="F16" s="13"/>
      <c r="G16" s="13"/>
    </row>
    <row r="18" customFormat="false" ht="21.75" hidden="false" customHeight="true" outlineLevel="0" collapsed="false">
      <c r="A18" s="9" t="s">
        <v>113</v>
      </c>
      <c r="B18" s="9"/>
      <c r="C18" s="9"/>
      <c r="D18" s="9"/>
      <c r="E18" s="9"/>
      <c r="F18" s="9"/>
      <c r="G18" s="9"/>
      <c r="H18" s="9"/>
    </row>
    <row r="19" customFormat="false" ht="15" hidden="false" customHeight="true" outlineLevel="0" collapsed="false">
      <c r="B19" s="1" t="s">
        <v>114</v>
      </c>
      <c r="C19" s="11" t="s">
        <v>115</v>
      </c>
      <c r="D19" s="11"/>
      <c r="E19" s="11"/>
      <c r="F19" s="11"/>
      <c r="G19" s="11"/>
    </row>
    <row r="20" customFormat="false" ht="15" hidden="false" customHeight="true" outlineLevel="0" collapsed="false">
      <c r="B20" s="14" t="s">
        <v>116</v>
      </c>
      <c r="C20" s="13" t="s">
        <v>117</v>
      </c>
      <c r="D20" s="13"/>
      <c r="E20" s="13"/>
      <c r="F20" s="13"/>
      <c r="G20" s="13"/>
    </row>
    <row r="21" customFormat="false" ht="22.35" hidden="false" customHeight="true" outlineLevel="0" collapsed="false">
      <c r="B21" s="14" t="s">
        <v>118</v>
      </c>
      <c r="C21" s="13" t="s">
        <v>119</v>
      </c>
      <c r="D21" s="13"/>
      <c r="E21" s="13"/>
      <c r="F21" s="13"/>
      <c r="G21" s="13"/>
    </row>
    <row r="22" customFormat="false" ht="15" hidden="false" customHeight="true" outlineLevel="0" collapsed="false">
      <c r="B22" s="14" t="s">
        <v>120</v>
      </c>
      <c r="C22" s="13" t="s">
        <v>121</v>
      </c>
      <c r="D22" s="13"/>
      <c r="E22" s="13"/>
      <c r="F22" s="13"/>
      <c r="G22" s="13"/>
    </row>
    <row r="23" customFormat="false" ht="15" hidden="false" customHeight="true" outlineLevel="0" collapsed="false">
      <c r="B23" s="14" t="s">
        <v>122</v>
      </c>
      <c r="C23" s="13" t="s">
        <v>123</v>
      </c>
      <c r="D23" s="13"/>
      <c r="E23" s="13"/>
      <c r="F23" s="13"/>
      <c r="G23" s="13"/>
    </row>
    <row r="24" customFormat="false" ht="15" hidden="false" customHeight="true" outlineLevel="0" collapsed="false">
      <c r="B24" s="14" t="s">
        <v>124</v>
      </c>
      <c r="C24" s="13" t="s">
        <v>125</v>
      </c>
      <c r="D24" s="13"/>
      <c r="E24" s="13"/>
      <c r="F24" s="13"/>
      <c r="G24" s="13"/>
    </row>
    <row r="25" customFormat="false" ht="32.8" hidden="false" customHeight="true" outlineLevel="0" collapsed="false">
      <c r="B25" s="14" t="s">
        <v>126</v>
      </c>
      <c r="C25" s="13" t="s">
        <v>127</v>
      </c>
      <c r="D25" s="13"/>
      <c r="E25" s="13"/>
      <c r="F25" s="13"/>
      <c r="G25" s="13"/>
    </row>
    <row r="26" customFormat="false" ht="22.35" hidden="false" customHeight="true" outlineLevel="0" collapsed="false">
      <c r="B26" s="14" t="s">
        <v>128</v>
      </c>
      <c r="C26" s="13" t="s">
        <v>129</v>
      </c>
      <c r="D26" s="13"/>
      <c r="E26" s="13"/>
      <c r="F26" s="13"/>
      <c r="G26" s="13"/>
    </row>
    <row r="27" customFormat="false" ht="22.35" hidden="false" customHeight="true" outlineLevel="0" collapsed="false">
      <c r="B27" s="14" t="s">
        <v>130</v>
      </c>
      <c r="C27" s="13" t="s">
        <v>131</v>
      </c>
      <c r="D27" s="13"/>
      <c r="E27" s="13"/>
      <c r="F27" s="13"/>
      <c r="G27" s="13"/>
    </row>
    <row r="28" customFormat="false" ht="15" hidden="false" customHeight="true" outlineLevel="0" collapsed="false">
      <c r="B28" s="14" t="s">
        <v>132</v>
      </c>
      <c r="C28" s="13" t="s">
        <v>133</v>
      </c>
      <c r="D28" s="13"/>
      <c r="E28" s="13"/>
      <c r="F28" s="13"/>
      <c r="G28" s="13"/>
    </row>
    <row r="30" customFormat="false" ht="21.75" hidden="false" customHeight="true" outlineLevel="0" collapsed="false">
      <c r="A30" s="9" t="s">
        <v>134</v>
      </c>
      <c r="B30" s="9"/>
      <c r="C30" s="9"/>
      <c r="D30" s="9"/>
      <c r="E30" s="9"/>
      <c r="F30" s="9"/>
      <c r="G30" s="9"/>
      <c r="H30" s="9"/>
    </row>
    <row r="31" customFormat="false" ht="79.5" hidden="false" customHeight="true" outlineLevel="0" collapsed="false">
      <c r="A31" s="15" t="s">
        <v>135</v>
      </c>
      <c r="B31" s="15"/>
      <c r="C31" s="15"/>
      <c r="D31" s="15"/>
      <c r="E31" s="15"/>
      <c r="F31" s="15"/>
      <c r="G31" s="15"/>
    </row>
    <row r="33" customFormat="false" ht="21.75" hidden="false" customHeight="true" outlineLevel="0" collapsed="false">
      <c r="A33" s="9" t="s">
        <v>136</v>
      </c>
      <c r="B33" s="9"/>
      <c r="C33" s="9"/>
      <c r="D33" s="9"/>
      <c r="E33" s="9"/>
      <c r="F33" s="9"/>
      <c r="G33" s="9"/>
      <c r="H33" s="9"/>
    </row>
    <row r="34" customFormat="false" ht="63.75" hidden="false" customHeight="true" outlineLevel="0" collapsed="false">
      <c r="A34" s="8" t="s">
        <v>137</v>
      </c>
      <c r="B34" s="8"/>
      <c r="C34" s="8"/>
      <c r="D34" s="8"/>
      <c r="E34" s="8"/>
      <c r="F34" s="8"/>
      <c r="G34" s="8"/>
    </row>
  </sheetData>
  <mergeCells count="28">
    <mergeCell ref="A1:H1"/>
    <mergeCell ref="A2:H2"/>
    <mergeCell ref="A4:G4"/>
    <mergeCell ref="A6:H6"/>
    <mergeCell ref="A7:G7"/>
    <mergeCell ref="A9:H9"/>
    <mergeCell ref="C10:G10"/>
    <mergeCell ref="C11:G11"/>
    <mergeCell ref="C12:G12"/>
    <mergeCell ref="C13:G13"/>
    <mergeCell ref="C14:G14"/>
    <mergeCell ref="C15:G15"/>
    <mergeCell ref="C16:G16"/>
    <mergeCell ref="A18:H18"/>
    <mergeCell ref="C19:G19"/>
    <mergeCell ref="C20:G20"/>
    <mergeCell ref="C21:G21"/>
    <mergeCell ref="C22:G22"/>
    <mergeCell ref="C23:G23"/>
    <mergeCell ref="C24:G24"/>
    <mergeCell ref="C25:G25"/>
    <mergeCell ref="C26:G26"/>
    <mergeCell ref="C27:G27"/>
    <mergeCell ref="C28:G28"/>
    <mergeCell ref="A30:H30"/>
    <mergeCell ref="A31:G31"/>
    <mergeCell ref="A33:H33"/>
    <mergeCell ref="A34:G3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5"/>
    <col collapsed="false" customWidth="true" hidden="false" outlineLevel="0" max="4" min="3" style="0" width="14"/>
    <col collapsed="false" customWidth="true" hidden="false" outlineLevel="0" max="6" min="5" style="0" width="15"/>
    <col collapsed="false" customWidth="true" hidden="false" outlineLevel="0" max="8" min="7" style="0" width="14"/>
  </cols>
  <sheetData>
    <row r="1" customFormat="false" ht="30" hidden="false" customHeight="true" outlineLevel="0" collapsed="false">
      <c r="A1" s="6" t="s">
        <v>138</v>
      </c>
      <c r="B1" s="6"/>
      <c r="C1" s="6"/>
      <c r="D1" s="6"/>
      <c r="E1" s="6"/>
      <c r="F1" s="6"/>
      <c r="G1" s="6"/>
      <c r="H1" s="6"/>
    </row>
    <row r="2" customFormat="false" ht="19.5" hidden="false" customHeight="true" outlineLevel="0" collapsed="false">
      <c r="A2" s="7" t="s">
        <v>139</v>
      </c>
      <c r="B2" s="7"/>
      <c r="C2" s="7"/>
      <c r="D2" s="7"/>
      <c r="E2" s="7"/>
      <c r="F2" s="7"/>
      <c r="G2" s="7"/>
      <c r="H2" s="7"/>
    </row>
    <row r="4" customFormat="false" ht="51.75" hidden="false" customHeight="true" outlineLevel="0" collapsed="false">
      <c r="A4" s="8" t="s">
        <v>140</v>
      </c>
      <c r="B4" s="8"/>
      <c r="C4" s="8"/>
      <c r="D4" s="8"/>
      <c r="E4" s="8"/>
      <c r="F4" s="8"/>
      <c r="G4" s="8"/>
      <c r="H4" s="8"/>
    </row>
    <row r="6" customFormat="false" ht="21.75" hidden="false" customHeight="true" outlineLevel="0" collapsed="false">
      <c r="A6" s="9" t="s">
        <v>141</v>
      </c>
      <c r="B6" s="9"/>
      <c r="C6" s="9"/>
      <c r="D6" s="9"/>
      <c r="E6" s="9"/>
      <c r="F6" s="9"/>
      <c r="G6" s="9"/>
      <c r="H6" s="9"/>
    </row>
    <row r="7" customFormat="false" ht="15" hidden="false" customHeight="true" outlineLevel="0" collapsed="false">
      <c r="A7" s="1" t="s">
        <v>142</v>
      </c>
      <c r="B7" s="1"/>
      <c r="C7" s="1" t="s">
        <v>143</v>
      </c>
    </row>
    <row r="8" customFormat="false" ht="15" hidden="false" customHeight="false" outlineLevel="0" collapsed="false">
      <c r="A8" s="16" t="s">
        <v>144</v>
      </c>
      <c r="B8" s="16"/>
      <c r="C8" s="17" t="n">
        <f aca="false">SLOPE(ln_trade, ln_dist)</f>
        <v>-0.807109220314723</v>
      </c>
    </row>
    <row r="9" customFormat="false" ht="15" hidden="false" customHeight="false" outlineLevel="0" collapsed="false">
      <c r="A9" s="16" t="s">
        <v>145</v>
      </c>
      <c r="B9" s="16"/>
      <c r="C9" s="17" t="n">
        <f aca="false">INTERCEPT(ln_trade, ln_dist)</f>
        <v>20.6791764387748</v>
      </c>
    </row>
    <row r="10" customFormat="false" ht="15" hidden="false" customHeight="false" outlineLevel="0" collapsed="false">
      <c r="A10" s="16" t="s">
        <v>146</v>
      </c>
      <c r="B10" s="16"/>
      <c r="C10" s="17" t="n">
        <f aca="false">RSQ(ln_trade, ln_dist)</f>
        <v>0.063638379858913</v>
      </c>
    </row>
    <row r="11" customFormat="false" ht="15" hidden="false" customHeight="false" outlineLevel="0" collapsed="false">
      <c r="A11" s="16" t="s">
        <v>147</v>
      </c>
      <c r="B11" s="16"/>
      <c r="C11" s="17" t="n">
        <f aca="false">CORREL(ln_dist, ln_trade)</f>
        <v>-0.252266485802044</v>
      </c>
    </row>
    <row r="12" customFormat="false" ht="15" hidden="false" customHeight="false" outlineLevel="0" collapsed="false">
      <c r="A12" s="16" t="s">
        <v>148</v>
      </c>
      <c r="B12" s="16"/>
      <c r="C12" s="17" t="n">
        <f aca="false">STEYX(ln_trade, ln_dist)</f>
        <v>2.3377689323748</v>
      </c>
    </row>
    <row r="13" customFormat="false" ht="15" hidden="false" customHeight="false" outlineLevel="0" collapsed="false">
      <c r="A13" s="16" t="s">
        <v>149</v>
      </c>
      <c r="B13" s="16"/>
      <c r="C13" s="18" t="n">
        <f aca="false">COUNT(ln_trade)</f>
        <v>200</v>
      </c>
    </row>
    <row r="14" customFormat="false" ht="15" hidden="false" customHeight="false" outlineLevel="0" collapsed="false">
      <c r="A14" s="16" t="s">
        <v>150</v>
      </c>
      <c r="B14" s="16"/>
      <c r="C14" s="17" t="n">
        <f aca="false">INDEX(LINEST(ln_trade, ln_dist, TRUE(), TRUE()), 2, 1)</f>
        <v>0.220019897707563</v>
      </c>
    </row>
    <row r="15" customFormat="false" ht="15" hidden="false" customHeight="false" outlineLevel="0" collapsed="false">
      <c r="A15" s="16" t="s">
        <v>151</v>
      </c>
      <c r="B15" s="16"/>
      <c r="C15" s="19" t="n">
        <f aca="false">C8/C14</f>
        <v>-3.66834649376795</v>
      </c>
    </row>
    <row r="16" customFormat="false" ht="15" hidden="false" customHeight="false" outlineLevel="0" collapsed="false">
      <c r="A16" s="16" t="s">
        <v>152</v>
      </c>
      <c r="B16" s="16"/>
      <c r="C16" s="17" t="n">
        <f aca="false">TDIST(ABS(C15),C13-2,2)</f>
        <v>0.000313737504523057</v>
      </c>
    </row>
    <row r="18" customFormat="false" ht="60" hidden="false" customHeight="true" outlineLevel="0" collapsed="false">
      <c r="A18" s="10" t="s">
        <v>153</v>
      </c>
      <c r="B18" s="10"/>
      <c r="C18" s="10"/>
      <c r="D18" s="10"/>
      <c r="E18" s="10"/>
      <c r="F18" s="10"/>
      <c r="G18" s="10"/>
      <c r="H18" s="10"/>
    </row>
    <row r="20" customFormat="false" ht="21.75" hidden="false" customHeight="true" outlineLevel="0" collapsed="false">
      <c r="A20" s="9" t="s">
        <v>154</v>
      </c>
      <c r="B20" s="9"/>
      <c r="C20" s="9"/>
      <c r="D20" s="9"/>
      <c r="E20" s="9"/>
      <c r="F20" s="9"/>
      <c r="G20" s="9"/>
      <c r="H20" s="9"/>
    </row>
    <row r="21" customFormat="false" ht="15" hidden="false" customHeight="false" outlineLevel="0" collapsed="false">
      <c r="A21" s="16" t="s">
        <v>155</v>
      </c>
      <c r="B21" s="16"/>
      <c r="C21" s="17" t="n">
        <f aca="false">COVAR(ln_dist, ln_trade)/VARP(ln_dist)</f>
        <v>-0.807109220314723</v>
      </c>
      <c r="E21" s="20" t="s">
        <v>156</v>
      </c>
    </row>
    <row r="23" customFormat="false" ht="21.75" hidden="false" customHeight="true" outlineLevel="0" collapsed="false">
      <c r="A23" s="9" t="s">
        <v>157</v>
      </c>
      <c r="B23" s="9"/>
      <c r="C23" s="9"/>
      <c r="D23" s="9"/>
      <c r="E23" s="9"/>
      <c r="F23" s="9"/>
      <c r="G23" s="9"/>
      <c r="H23" s="9"/>
    </row>
    <row r="24" customFormat="false" ht="27.75" hidden="false" customHeight="true" outlineLevel="0" collapsed="false">
      <c r="A24" s="15" t="s">
        <v>158</v>
      </c>
      <c r="B24" s="15"/>
      <c r="C24" s="15"/>
      <c r="D24" s="15"/>
      <c r="E24" s="15"/>
      <c r="F24" s="15"/>
      <c r="G24" s="15"/>
      <c r="H24" s="15"/>
    </row>
    <row r="25" customFormat="false" ht="15" hidden="false" customHeight="false" outlineLevel="0" collapsed="false">
      <c r="A25" s="21" t="s">
        <v>159</v>
      </c>
      <c r="B25" s="21"/>
      <c r="C25" s="22" t="n">
        <v>5000</v>
      </c>
    </row>
    <row r="26" customFormat="false" ht="15" hidden="false" customHeight="false" outlineLevel="0" collapsed="false">
      <c r="A26" s="23" t="s">
        <v>160</v>
      </c>
      <c r="B26" s="23"/>
      <c r="C26" s="24" t="n">
        <f aca="false">LN(C25)</f>
        <v>8.51719319141624</v>
      </c>
    </row>
    <row r="27" customFormat="false" ht="15" hidden="false" customHeight="false" outlineLevel="0" collapsed="false">
      <c r="A27" s="23" t="s">
        <v>161</v>
      </c>
      <c r="B27" s="23"/>
      <c r="C27" s="24" t="n">
        <f aca="false">C9+C8*C26</f>
        <v>13.804871282781</v>
      </c>
    </row>
    <row r="28" customFormat="false" ht="15" hidden="false" customHeight="false" outlineLevel="0" collapsed="false">
      <c r="A28" s="21" t="s">
        <v>162</v>
      </c>
      <c r="B28" s="21"/>
      <c r="C28" s="25" t="n">
        <f aca="false">EXP(C27)</f>
        <v>989417.121720335</v>
      </c>
    </row>
  </sheetData>
  <mergeCells count="23">
    <mergeCell ref="A1:H1"/>
    <mergeCell ref="A2:H2"/>
    <mergeCell ref="A4:H4"/>
    <mergeCell ref="A6:H6"/>
    <mergeCell ref="A7:B7"/>
    <mergeCell ref="A8:B8"/>
    <mergeCell ref="A9:B9"/>
    <mergeCell ref="A10:B10"/>
    <mergeCell ref="A11:B11"/>
    <mergeCell ref="A12:B12"/>
    <mergeCell ref="A13:B13"/>
    <mergeCell ref="A14:B14"/>
    <mergeCell ref="A15:B15"/>
    <mergeCell ref="A16:B16"/>
    <mergeCell ref="A18:H18"/>
    <mergeCell ref="A20:H20"/>
    <mergeCell ref="A21:B21"/>
    <mergeCell ref="A23:H23"/>
    <mergeCell ref="A24:H24"/>
    <mergeCell ref="A25:B25"/>
    <mergeCell ref="A26:B26"/>
    <mergeCell ref="A27:B27"/>
    <mergeCell ref="A28:B2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2"/>
    <col collapsed="false" customWidth="true" hidden="false" outlineLevel="0" max="4" min="4" style="0" width="11"/>
    <col collapsed="false" customWidth="true" hidden="false" outlineLevel="0" max="5" min="5" style="0" width="17"/>
    <col collapsed="false" customWidth="true" hidden="false" outlineLevel="0" max="6" min="6" style="0" width="34"/>
  </cols>
  <sheetData>
    <row r="1" customFormat="false" ht="30" hidden="false" customHeight="true" outlineLevel="0" collapsed="false">
      <c r="A1" s="6" t="s">
        <v>163</v>
      </c>
      <c r="B1" s="6"/>
      <c r="C1" s="6"/>
      <c r="D1" s="6"/>
      <c r="E1" s="6"/>
      <c r="F1" s="6"/>
    </row>
    <row r="2" customFormat="false" ht="19.5" hidden="false" customHeight="true" outlineLevel="0" collapsed="false">
      <c r="A2" s="7" t="s">
        <v>164</v>
      </c>
      <c r="B2" s="7"/>
      <c r="C2" s="7"/>
      <c r="D2" s="7"/>
      <c r="E2" s="7"/>
      <c r="F2" s="7"/>
    </row>
    <row r="4" customFormat="false" ht="45.75" hidden="false" customHeight="true" outlineLevel="0" collapsed="false">
      <c r="A4" s="8" t="s">
        <v>165</v>
      </c>
      <c r="B4" s="8"/>
      <c r="C4" s="8"/>
      <c r="D4" s="8"/>
      <c r="E4" s="8"/>
      <c r="F4" s="8"/>
    </row>
    <row r="6" customFormat="false" ht="21.75" hidden="false" customHeight="true" outlineLevel="0" collapsed="false">
      <c r="A6" s="9" t="s">
        <v>166</v>
      </c>
      <c r="B6" s="9"/>
      <c r="C6" s="9"/>
      <c r="D6" s="9"/>
      <c r="E6" s="9"/>
      <c r="F6" s="9"/>
      <c r="G6" s="9"/>
      <c r="H6" s="9"/>
    </row>
    <row r="7" customFormat="false" ht="15" hidden="false" customHeight="false" outlineLevel="0" collapsed="false">
      <c r="A7" s="1" t="s">
        <v>167</v>
      </c>
      <c r="B7" s="1" t="s">
        <v>168</v>
      </c>
      <c r="C7" s="1" t="s">
        <v>169</v>
      </c>
      <c r="D7" s="1" t="s">
        <v>170</v>
      </c>
      <c r="E7" s="1" t="s">
        <v>171</v>
      </c>
      <c r="F7" s="1" t="s">
        <v>172</v>
      </c>
    </row>
    <row r="8" customFormat="false" ht="15" hidden="false" customHeight="false" outlineLevel="0" collapsed="false">
      <c r="A8" s="16" t="s">
        <v>173</v>
      </c>
      <c r="B8" s="17" t="n">
        <f aca="false">INDEX(LINEST(ln_trade,X_grav,TRUE(),TRUE()),1,4)</f>
        <v>-6.42242314068192</v>
      </c>
      <c r="C8" s="17" t="n">
        <f aca="false">INDEX(LINEST(ln_trade,X_grav,TRUE(),TRUE()),2,4)</f>
        <v>3.33928950506937</v>
      </c>
      <c r="D8" s="19" t="n">
        <f aca="false">B8/C8</f>
        <v>-1.92329030799278</v>
      </c>
      <c r="E8" s="17" t="n">
        <f aca="false">TDIST(ABS(D8),200-3-1,2)</f>
        <v>0.0558927220193386</v>
      </c>
      <c r="F8" s="26" t="s">
        <v>174</v>
      </c>
    </row>
    <row r="9" customFormat="false" ht="22.35" hidden="false" customHeight="false" outlineLevel="0" collapsed="false">
      <c r="A9" s="16" t="s">
        <v>9</v>
      </c>
      <c r="B9" s="17" t="n">
        <f aca="false">INDEX(LINEST(ln_trade,X_grav,TRUE(),TRUE()),1,3)</f>
        <v>-0.833768077239385</v>
      </c>
      <c r="C9" s="17" t="n">
        <f aca="false">INDEX(LINEST(ln_trade,X_grav,TRUE(),TRUE()),2,3)</f>
        <v>0.184408180612557</v>
      </c>
      <c r="D9" s="19" t="n">
        <f aca="false">B9/C9</f>
        <v>-4.52131827595621</v>
      </c>
      <c r="E9" s="17" t="n">
        <f aca="false">TDIST(ABS(D9),200-3-1,2)</f>
        <v>1.06233964733688E-005</v>
      </c>
      <c r="F9" s="26" t="s">
        <v>175</v>
      </c>
    </row>
    <row r="10" customFormat="false" ht="22.35" hidden="false" customHeight="false" outlineLevel="0" collapsed="false">
      <c r="A10" s="16" t="s">
        <v>10</v>
      </c>
      <c r="B10" s="17" t="n">
        <f aca="false">INDEX(LINEST(ln_trade,X_grav,TRUE(),TRUE()),1,2)</f>
        <v>1.04714305456718</v>
      </c>
      <c r="C10" s="17" t="n">
        <f aca="false">INDEX(LINEST(ln_trade,X_grav,TRUE(),TRUE()),2,2)</f>
        <v>0.149915137274222</v>
      </c>
      <c r="D10" s="19" t="n">
        <f aca="false">B10/C10</f>
        <v>6.98490541786827</v>
      </c>
      <c r="E10" s="17" t="n">
        <f aca="false">TDIST(ABS(D10),200-3-1,2)</f>
        <v>4.33102886767383E-011</v>
      </c>
      <c r="F10" s="26" t="s">
        <v>176</v>
      </c>
    </row>
    <row r="11" customFormat="false" ht="22.35" hidden="false" customHeight="false" outlineLevel="0" collapsed="false">
      <c r="A11" s="16" t="s">
        <v>11</v>
      </c>
      <c r="B11" s="17" t="n">
        <f aca="false">INDEX(LINEST(ln_trade,X_grav,TRUE(),TRUE()),1,1)</f>
        <v>0.891574083065999</v>
      </c>
      <c r="C11" s="17" t="n">
        <f aca="false">INDEX(LINEST(ln_trade,X_grav,TRUE(),TRUE()),2,1)</f>
        <v>0.162506783736111</v>
      </c>
      <c r="D11" s="19" t="n">
        <f aca="false">B11/C11</f>
        <v>5.48638070712047</v>
      </c>
      <c r="E11" s="17" t="n">
        <f aca="false">TDIST(ABS(D11),200-3-1,2)</f>
        <v>1.25724177007454E-007</v>
      </c>
      <c r="F11" s="26" t="s">
        <v>177</v>
      </c>
    </row>
    <row r="13" customFormat="false" ht="15" hidden="false" customHeight="false" outlineLevel="0" collapsed="false">
      <c r="A13" s="16" t="s">
        <v>178</v>
      </c>
      <c r="B13" s="17" t="n">
        <f aca="false">INDEX(LINEST(ln_trade,X_grav,TRUE(),TRUE()),3,1)</f>
        <v>0.351484517777978</v>
      </c>
    </row>
    <row r="14" customFormat="false" ht="15" hidden="false" customHeight="false" outlineLevel="0" collapsed="false">
      <c r="A14" s="16" t="s">
        <v>179</v>
      </c>
      <c r="B14" s="17" t="n">
        <f aca="false">1-(1-INDEX(LINEST(ln_trade,X_grav,TRUE(),TRUE()),3,1))*(200-1)/(200-3-1)</f>
        <v>0.341558260397029</v>
      </c>
    </row>
    <row r="15" customFormat="false" ht="15" hidden="false" customHeight="false" outlineLevel="0" collapsed="false">
      <c r="A15" s="16" t="s">
        <v>180</v>
      </c>
      <c r="B15" s="27" t="n">
        <f aca="false">INDEX(LINEST(ln_trade,X_grav,TRUE(),TRUE()),4,1)</f>
        <v>35.409571229994</v>
      </c>
    </row>
    <row r="16" customFormat="false" ht="15" hidden="false" customHeight="false" outlineLevel="0" collapsed="false">
      <c r="A16" s="16" t="s">
        <v>181</v>
      </c>
      <c r="B16" s="17" t="n">
        <f aca="false">INDEX(LINEST(ln_trade,X_grav,TRUE(),TRUE()),3,2)</f>
        <v>1.95544008823843</v>
      </c>
    </row>
    <row r="17" customFormat="false" ht="15" hidden="false" customHeight="false" outlineLevel="0" collapsed="false">
      <c r="A17" s="16" t="s">
        <v>182</v>
      </c>
      <c r="B17" s="18" t="n">
        <f aca="false">COUNT(ln_trade)</f>
        <v>200</v>
      </c>
    </row>
    <row r="18" customFormat="false" ht="15" hidden="false" customHeight="false" outlineLevel="0" collapsed="false">
      <c r="A18" s="16" t="s">
        <v>183</v>
      </c>
      <c r="B18" s="18" t="n">
        <v>3</v>
      </c>
    </row>
    <row r="20" customFormat="false" ht="60" hidden="false" customHeight="true" outlineLevel="0" collapsed="false">
      <c r="A20" s="10" t="s">
        <v>184</v>
      </c>
      <c r="B20" s="10"/>
      <c r="C20" s="10"/>
      <c r="D20" s="10"/>
      <c r="E20" s="10"/>
      <c r="F20" s="10"/>
    </row>
    <row r="22" customFormat="false" ht="21.75" hidden="false" customHeight="true" outlineLevel="0" collapsed="false">
      <c r="A22" s="9" t="s">
        <v>185</v>
      </c>
      <c r="B22" s="9"/>
      <c r="C22" s="9"/>
      <c r="D22" s="9"/>
      <c r="E22" s="9"/>
      <c r="F22" s="9"/>
      <c r="G22" s="9"/>
      <c r="H22" s="9"/>
    </row>
    <row r="23" customFormat="false" ht="43.5" hidden="false" customHeight="true" outlineLevel="0" collapsed="false">
      <c r="A23" s="15" t="s">
        <v>186</v>
      </c>
      <c r="B23" s="15"/>
      <c r="C23" s="15"/>
      <c r="D23" s="15"/>
      <c r="E23" s="15"/>
      <c r="F23" s="15"/>
    </row>
    <row r="24" customFormat="false" ht="23.85" hidden="false" customHeight="false" outlineLevel="0" collapsed="false">
      <c r="A24" s="1" t="s">
        <v>187</v>
      </c>
      <c r="B24" s="1" t="s">
        <v>188</v>
      </c>
      <c r="C24" s="1" t="s">
        <v>189</v>
      </c>
      <c r="D24" s="1" t="s">
        <v>190</v>
      </c>
    </row>
    <row r="25" customFormat="false" ht="15" hidden="false" customHeight="false" outlineLevel="0" collapsed="false">
      <c r="A25" s="28" t="n">
        <f aca="false">IFERROR(INDEX(LINEST(ln_trade,X_grav,TRUE(),TRUE()),1,1),"")</f>
        <v>0.891574083065999</v>
      </c>
      <c r="B25" s="28" t="n">
        <f aca="false">IFERROR(INDEX(LINEST(ln_trade,X_grav,TRUE(),TRUE()),1,2),"")</f>
        <v>1.04714305456718</v>
      </c>
      <c r="C25" s="28" t="n">
        <f aca="false">IFERROR(INDEX(LINEST(ln_trade,X_grav,TRUE(),TRUE()),1,3),"")</f>
        <v>-0.833768077239385</v>
      </c>
      <c r="D25" s="28" t="n">
        <f aca="false">IFERROR(INDEX(LINEST(ln_trade,X_grav,TRUE(),TRUE()),1,4),"")</f>
        <v>-6.42242314068192</v>
      </c>
      <c r="F25" s="20" t="s">
        <v>191</v>
      </c>
    </row>
    <row r="26" customFormat="false" ht="15" hidden="false" customHeight="false" outlineLevel="0" collapsed="false">
      <c r="A26" s="28" t="n">
        <f aca="false">IFERROR(INDEX(LINEST(ln_trade,X_grav,TRUE(),TRUE()),2,1),"")</f>
        <v>0.162506783736111</v>
      </c>
      <c r="B26" s="28" t="n">
        <f aca="false">IFERROR(INDEX(LINEST(ln_trade,X_grav,TRUE(),TRUE()),2,2),"")</f>
        <v>0.149915137274222</v>
      </c>
      <c r="C26" s="28" t="n">
        <f aca="false">IFERROR(INDEX(LINEST(ln_trade,X_grav,TRUE(),TRUE()),2,3),"")</f>
        <v>0.184408180612557</v>
      </c>
      <c r="D26" s="28" t="n">
        <f aca="false">IFERROR(INDEX(LINEST(ln_trade,X_grav,TRUE(),TRUE()),2,4),"")</f>
        <v>3.33928950506937</v>
      </c>
      <c r="F26" s="20" t="s">
        <v>192</v>
      </c>
    </row>
    <row r="27" customFormat="false" ht="15" hidden="false" customHeight="false" outlineLevel="0" collapsed="false">
      <c r="A27" s="28" t="n">
        <f aca="false">IFERROR(INDEX(LINEST(ln_trade,X_grav,TRUE(),TRUE()),3,1),"")</f>
        <v>0.351484517777978</v>
      </c>
      <c r="B27" s="28" t="n">
        <f aca="false">IFERROR(INDEX(LINEST(ln_trade,X_grav,TRUE(),TRUE()),3,2),"")</f>
        <v>1.95544008823843</v>
      </c>
      <c r="C27" s="28" t="str">
        <f aca="false">IFERROR(INDEX(LINEST(ln_trade,X_grav,TRUE(),TRUE()),3,3),"")</f>
        <v/>
      </c>
      <c r="D27" s="28" t="str">
        <f aca="false">IFERROR(INDEX(LINEST(ln_trade,X_grav,TRUE(),TRUE()),3,4),"")</f>
        <v/>
      </c>
      <c r="F27" s="20" t="s">
        <v>193</v>
      </c>
    </row>
    <row r="28" customFormat="false" ht="15" hidden="false" customHeight="false" outlineLevel="0" collapsed="false">
      <c r="A28" s="28" t="n">
        <f aca="false">IFERROR(INDEX(LINEST(ln_trade,X_grav,TRUE(),TRUE()),4,1),"")</f>
        <v>35.409571229994</v>
      </c>
      <c r="B28" s="28" t="n">
        <f aca="false">IFERROR(INDEX(LINEST(ln_trade,X_grav,TRUE(),TRUE()),4,2),"")</f>
        <v>196</v>
      </c>
      <c r="C28" s="28" t="str">
        <f aca="false">IFERROR(INDEX(LINEST(ln_trade,X_grav,TRUE(),TRUE()),4,3),"")</f>
        <v/>
      </c>
      <c r="D28" s="28" t="str">
        <f aca="false">IFERROR(INDEX(LINEST(ln_trade,X_grav,TRUE(),TRUE()),4,4),"")</f>
        <v/>
      </c>
      <c r="F28" s="20" t="s">
        <v>194</v>
      </c>
    </row>
    <row r="29" customFormat="false" ht="15" hidden="false" customHeight="false" outlineLevel="0" collapsed="false">
      <c r="A29" s="28" t="n">
        <f aca="false">IFERROR(INDEX(LINEST(ln_trade,X_grav,TRUE(),TRUE()),5,1),"")</f>
        <v>406.191612544324</v>
      </c>
      <c r="B29" s="28" t="n">
        <f aca="false">IFERROR(INDEX(LINEST(ln_trade,X_grav,TRUE(),TRUE()),5,2),"")</f>
        <v>749.454203983227</v>
      </c>
      <c r="C29" s="28" t="str">
        <f aca="false">IFERROR(INDEX(LINEST(ln_trade,X_grav,TRUE(),TRUE()),5,3),"")</f>
        <v/>
      </c>
      <c r="D29" s="28" t="str">
        <f aca="false">IFERROR(INDEX(LINEST(ln_trade,X_grav,TRUE(),TRUE()),5,4),"")</f>
        <v/>
      </c>
      <c r="F29" s="20" t="s">
        <v>195</v>
      </c>
    </row>
  </sheetData>
  <mergeCells count="7">
    <mergeCell ref="A1:F1"/>
    <mergeCell ref="A2:F2"/>
    <mergeCell ref="A4:F4"/>
    <mergeCell ref="A6:H6"/>
    <mergeCell ref="A20:F20"/>
    <mergeCell ref="A22:H22"/>
    <mergeCell ref="A23:F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2"/>
    <col collapsed="false" customWidth="true" hidden="false" outlineLevel="0" max="4" min="4" style="0" width="11"/>
    <col collapsed="false" customWidth="true" hidden="false" outlineLevel="0" max="5" min="5" style="0" width="17"/>
    <col collapsed="false" customWidth="true" hidden="false" outlineLevel="0" max="6" min="6" style="0" width="34"/>
  </cols>
  <sheetData>
    <row r="1" customFormat="false" ht="30" hidden="false" customHeight="true" outlineLevel="0" collapsed="false">
      <c r="A1" s="6" t="s">
        <v>196</v>
      </c>
      <c r="B1" s="6"/>
      <c r="C1" s="6"/>
      <c r="D1" s="6"/>
      <c r="E1" s="6"/>
      <c r="F1" s="6"/>
    </row>
    <row r="2" customFormat="false" ht="19.5" hidden="false" customHeight="true" outlineLevel="0" collapsed="false">
      <c r="A2" s="7" t="s">
        <v>197</v>
      </c>
      <c r="B2" s="7"/>
      <c r="C2" s="7"/>
      <c r="D2" s="7"/>
      <c r="E2" s="7"/>
      <c r="F2" s="7"/>
    </row>
    <row r="4" customFormat="false" ht="45.75" hidden="false" customHeight="true" outlineLevel="0" collapsed="false">
      <c r="A4" s="8" t="s">
        <v>198</v>
      </c>
      <c r="B4" s="8"/>
      <c r="C4" s="8"/>
      <c r="D4" s="8"/>
      <c r="E4" s="8"/>
      <c r="F4" s="8"/>
    </row>
    <row r="6" customFormat="false" ht="21.75" hidden="false" customHeight="true" outlineLevel="0" collapsed="false">
      <c r="A6" s="9" t="s">
        <v>166</v>
      </c>
      <c r="B6" s="9"/>
      <c r="C6" s="9"/>
      <c r="D6" s="9"/>
      <c r="E6" s="9"/>
      <c r="F6" s="9"/>
      <c r="G6" s="9"/>
      <c r="H6" s="9"/>
    </row>
    <row r="7" customFormat="false" ht="15" hidden="false" customHeight="false" outlineLevel="0" collapsed="false">
      <c r="A7" s="1" t="s">
        <v>167</v>
      </c>
      <c r="B7" s="1" t="s">
        <v>168</v>
      </c>
      <c r="C7" s="1" t="s">
        <v>169</v>
      </c>
      <c r="D7" s="1" t="s">
        <v>170</v>
      </c>
      <c r="E7" s="1" t="s">
        <v>171</v>
      </c>
      <c r="F7" s="1" t="s">
        <v>172</v>
      </c>
    </row>
    <row r="8" customFormat="false" ht="15" hidden="false" customHeight="false" outlineLevel="0" collapsed="false">
      <c r="A8" s="16" t="s">
        <v>173</v>
      </c>
      <c r="B8" s="17" t="n">
        <f aca="false">INDEX(LINEST(ln_trade,X_full,TRUE(),TRUE()),1,7)</f>
        <v>-8.81590463498996</v>
      </c>
      <c r="C8" s="17" t="n">
        <f aca="false">INDEX(LINEST(ln_trade,X_full,TRUE(),TRUE()),2,7)</f>
        <v>3.39519758641451</v>
      </c>
      <c r="D8" s="19" t="n">
        <f aca="false">B8/C8</f>
        <v>-2.59658073222772</v>
      </c>
      <c r="E8" s="17" t="n">
        <f aca="false">TDIST(ABS(D8),200-6-1,2)</f>
        <v>0.0101405331676011</v>
      </c>
      <c r="F8" s="26" t="s">
        <v>199</v>
      </c>
    </row>
    <row r="9" customFormat="false" ht="15" hidden="false" customHeight="false" outlineLevel="0" collapsed="false">
      <c r="A9" s="16" t="s">
        <v>9</v>
      </c>
      <c r="B9" s="17" t="n">
        <f aca="false">INDEX(LINEST(ln_trade,X_full,TRUE(),TRUE()),1,6)</f>
        <v>-0.723100517966761</v>
      </c>
      <c r="C9" s="17" t="n">
        <f aca="false">INDEX(LINEST(ln_trade,X_full,TRUE(),TRUE()),2,6)</f>
        <v>0.222444095027253</v>
      </c>
      <c r="D9" s="19" t="n">
        <f aca="false">B9/C9</f>
        <v>-3.25070673545265</v>
      </c>
      <c r="E9" s="17" t="n">
        <f aca="false">TDIST(ABS(D9),200-6-1,2)</f>
        <v>0.00135838528142657</v>
      </c>
      <c r="F9" s="26" t="s">
        <v>200</v>
      </c>
    </row>
    <row r="10" customFormat="false" ht="15" hidden="false" customHeight="false" outlineLevel="0" collapsed="false">
      <c r="A10" s="16" t="s">
        <v>10</v>
      </c>
      <c r="B10" s="17" t="n">
        <f aca="false">INDEX(LINEST(ln_trade,X_full,TRUE(),TRUE()),1,5)</f>
        <v>1.04510240739815</v>
      </c>
      <c r="C10" s="17" t="n">
        <f aca="false">INDEX(LINEST(ln_trade,X_full,TRUE(),TRUE()),2,5)</f>
        <v>0.145696199129105</v>
      </c>
      <c r="D10" s="19" t="n">
        <f aca="false">B10/C10</f>
        <v>7.17316178215504</v>
      </c>
      <c r="E10" s="17" t="n">
        <f aca="false">TDIST(ABS(D10),200-6-1,2)</f>
        <v>1.52830520060168E-011</v>
      </c>
      <c r="F10" s="26" t="s">
        <v>201</v>
      </c>
    </row>
    <row r="11" customFormat="false" ht="15" hidden="false" customHeight="false" outlineLevel="0" collapsed="false">
      <c r="A11" s="16" t="s">
        <v>11</v>
      </c>
      <c r="B11" s="17" t="n">
        <f aca="false">INDEX(LINEST(ln_trade,X_full,TRUE(),TRUE()),1,4)</f>
        <v>0.966585066361266</v>
      </c>
      <c r="C11" s="17" t="n">
        <f aca="false">INDEX(LINEST(ln_trade,X_full,TRUE(),TRUE()),2,4)</f>
        <v>0.158515294563805</v>
      </c>
      <c r="D11" s="19" t="n">
        <f aca="false">B11/C11</f>
        <v>6.09774008887326</v>
      </c>
      <c r="E11" s="17" t="n">
        <f aca="false">TDIST(ABS(D11),200-6-1,2)</f>
        <v>5.75304593463232E-009</v>
      </c>
      <c r="F11" s="26" t="s">
        <v>202</v>
      </c>
    </row>
    <row r="12" customFormat="false" ht="15" hidden="false" customHeight="false" outlineLevel="0" collapsed="false">
      <c r="A12" s="16" t="s">
        <v>203</v>
      </c>
      <c r="B12" s="17" t="n">
        <f aca="false">INDEX(LINEST(ln_trade,X_full,TRUE(),TRUE()),1,3)</f>
        <v>-1.80615555865547</v>
      </c>
      <c r="C12" s="17" t="n">
        <f aca="false">INDEX(LINEST(ln_trade,X_full,TRUE(),TRUE()),2,3)</f>
        <v>0.73797044229292</v>
      </c>
      <c r="D12" s="19" t="n">
        <f aca="false">B12/C12</f>
        <v>-2.44746327921161</v>
      </c>
      <c r="E12" s="17" t="n">
        <f aca="false">TDIST(ABS(D12),200-6-1,2)</f>
        <v>0.0152810112132225</v>
      </c>
      <c r="F12" s="26" t="s">
        <v>204</v>
      </c>
    </row>
    <row r="13" customFormat="false" ht="15" hidden="false" customHeight="false" outlineLevel="0" collapsed="false">
      <c r="A13" s="16" t="s">
        <v>205</v>
      </c>
      <c r="B13" s="17" t="n">
        <f aca="false">INDEX(LINEST(ln_trade,X_full,TRUE(),TRUE()),1,2)</f>
        <v>0.545286675496912</v>
      </c>
      <c r="C13" s="17" t="n">
        <f aca="false">INDEX(LINEST(ln_trade,X_full,TRUE(),TRUE()),2,2)</f>
        <v>0.280850467659607</v>
      </c>
      <c r="D13" s="19" t="n">
        <f aca="false">B13/C13</f>
        <v>1.94155516293391</v>
      </c>
      <c r="E13" s="17" t="n">
        <f aca="false">TDIST(ABS(D13),200-6-1,2)</f>
        <v>0.0536469328025631</v>
      </c>
      <c r="F13" s="26" t="s">
        <v>206</v>
      </c>
    </row>
    <row r="14" customFormat="false" ht="15" hidden="false" customHeight="false" outlineLevel="0" collapsed="false">
      <c r="A14" s="16" t="s">
        <v>207</v>
      </c>
      <c r="B14" s="17" t="n">
        <f aca="false">INDEX(LINEST(ln_trade,X_full,TRUE(),TRUE()),1,1)</f>
        <v>1.12519720532458</v>
      </c>
      <c r="C14" s="17" t="n">
        <f aca="false">INDEX(LINEST(ln_trade,X_full,TRUE(),TRUE()),2,1)</f>
        <v>0.358555857431769</v>
      </c>
      <c r="D14" s="19" t="n">
        <f aca="false">B14/C14</f>
        <v>3.13813644932211</v>
      </c>
      <c r="E14" s="17" t="n">
        <f aca="false">TDIST(ABS(D14),200-6-1,2)</f>
        <v>0.00196693552475223</v>
      </c>
      <c r="F14" s="26" t="s">
        <v>208</v>
      </c>
    </row>
    <row r="16" customFormat="false" ht="15" hidden="false" customHeight="false" outlineLevel="0" collapsed="false">
      <c r="A16" s="16" t="s">
        <v>178</v>
      </c>
      <c r="B16" s="17" t="n">
        <f aca="false">INDEX(LINEST(ln_trade,X_full,TRUE(),TRUE()),3,1)</f>
        <v>0.411103714489499</v>
      </c>
    </row>
    <row r="17" customFormat="false" ht="15" hidden="false" customHeight="false" outlineLevel="0" collapsed="false">
      <c r="A17" s="16" t="s">
        <v>179</v>
      </c>
      <c r="B17" s="17" t="n">
        <f aca="false">1-(1-INDEX(LINEST(ln_trade,X_full,TRUE(),TRUE()),3,1))*(200-1)/(200-6-1)</f>
        <v>0.392796057945131</v>
      </c>
    </row>
    <row r="18" customFormat="false" ht="15" hidden="false" customHeight="false" outlineLevel="0" collapsed="false">
      <c r="A18" s="16" t="s">
        <v>180</v>
      </c>
      <c r="B18" s="27" t="n">
        <f aca="false">INDEX(LINEST(ln_trade,X_full,TRUE(),TRUE()),4,1)</f>
        <v>22.4552887745739</v>
      </c>
    </row>
    <row r="19" customFormat="false" ht="15" hidden="false" customHeight="false" outlineLevel="0" collapsed="false">
      <c r="A19" s="16" t="s">
        <v>181</v>
      </c>
      <c r="B19" s="17" t="n">
        <f aca="false">INDEX(LINEST(ln_trade,X_full,TRUE(),TRUE()),3,2)</f>
        <v>1.87781640458282</v>
      </c>
    </row>
    <row r="20" customFormat="false" ht="15" hidden="false" customHeight="false" outlineLevel="0" collapsed="false">
      <c r="A20" s="16" t="s">
        <v>182</v>
      </c>
      <c r="B20" s="18" t="n">
        <f aca="false">COUNT(ln_trade)</f>
        <v>200</v>
      </c>
    </row>
    <row r="21" customFormat="false" ht="15" hidden="false" customHeight="false" outlineLevel="0" collapsed="false">
      <c r="A21" s="16" t="s">
        <v>183</v>
      </c>
      <c r="B21" s="18" t="n">
        <v>6</v>
      </c>
    </row>
    <row r="23" customFormat="false" ht="21.75" hidden="false" customHeight="true" outlineLevel="0" collapsed="false">
      <c r="A23" s="9" t="s">
        <v>209</v>
      </c>
      <c r="B23" s="9"/>
      <c r="C23" s="9"/>
      <c r="D23" s="9"/>
      <c r="E23" s="9"/>
      <c r="F23" s="9"/>
      <c r="G23" s="9"/>
      <c r="H23" s="9"/>
    </row>
    <row r="24" customFormat="false" ht="23.85" hidden="false" customHeight="false" outlineLevel="0" collapsed="false">
      <c r="A24" s="1" t="s">
        <v>210</v>
      </c>
      <c r="B24" s="1" t="s">
        <v>211</v>
      </c>
      <c r="C24" s="1" t="s">
        <v>212</v>
      </c>
      <c r="D24" s="1" t="s">
        <v>213</v>
      </c>
    </row>
    <row r="25" customFormat="false" ht="15" hidden="false" customHeight="false" outlineLevel="0" collapsed="false">
      <c r="A25" s="16" t="s">
        <v>214</v>
      </c>
      <c r="B25" s="24" t="n">
        <f aca="false">INDEX(LINEST(ln_trade,X_full,TRUE(),TRUE()),1,1)</f>
        <v>1.12519720532458</v>
      </c>
      <c r="C25" s="29" t="n">
        <f aca="false">B25*100</f>
        <v>112.519720532458</v>
      </c>
      <c r="D25" s="30" t="n">
        <f aca="false">(EXP(B25)-1)</f>
        <v>2.08082434398016</v>
      </c>
    </row>
    <row r="26" customFormat="false" ht="15" hidden="false" customHeight="false" outlineLevel="0" collapsed="false">
      <c r="A26" s="16" t="s">
        <v>13</v>
      </c>
      <c r="B26" s="24" t="n">
        <f aca="false">INDEX(LINEST(ln_trade,X_full,TRUE(),TRUE()),1,2)</f>
        <v>0.545286675496912</v>
      </c>
      <c r="C26" s="29" t="n">
        <f aca="false">B26*100</f>
        <v>54.5286675496912</v>
      </c>
      <c r="D26" s="30" t="n">
        <f aca="false">(EXP(B26)-1)</f>
        <v>0.725102856214811</v>
      </c>
    </row>
    <row r="27" customFormat="false" ht="15" hidden="false" customHeight="false" outlineLevel="0" collapsed="false">
      <c r="A27" s="16" t="s">
        <v>215</v>
      </c>
      <c r="B27" s="24" t="n">
        <f aca="false">INDEX(LINEST(ln_trade,X_full,TRUE(),TRUE()),1,3)</f>
        <v>-1.80615555865547</v>
      </c>
      <c r="C27" s="29" t="n">
        <f aca="false">B27*100</f>
        <v>-180.615555865547</v>
      </c>
      <c r="D27" s="30" t="n">
        <f aca="false">(EXP(B27)-1)</f>
        <v>-0.835715493534362</v>
      </c>
    </row>
    <row r="29" customFormat="false" ht="73.5" hidden="false" customHeight="true" outlineLevel="0" collapsed="false">
      <c r="A29" s="10" t="s">
        <v>216</v>
      </c>
      <c r="B29" s="10"/>
      <c r="C29" s="10"/>
      <c r="D29" s="10"/>
      <c r="E29" s="10"/>
      <c r="F29" s="10"/>
    </row>
  </sheetData>
  <mergeCells count="6">
    <mergeCell ref="A1:F1"/>
    <mergeCell ref="A2:F2"/>
    <mergeCell ref="A4:F4"/>
    <mergeCell ref="A6:H6"/>
    <mergeCell ref="A23:H23"/>
    <mergeCell ref="A29:F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4" min="3" style="0" width="18"/>
    <col collapsed="false" customWidth="true" hidden="false" outlineLevel="0" max="5" min="5" style="0" width="30"/>
  </cols>
  <sheetData>
    <row r="1" customFormat="false" ht="30" hidden="false" customHeight="true" outlineLevel="0" collapsed="false">
      <c r="A1" s="6" t="s">
        <v>217</v>
      </c>
      <c r="B1" s="6"/>
      <c r="C1" s="6"/>
      <c r="D1" s="6"/>
      <c r="E1" s="6"/>
    </row>
    <row r="2" customFormat="false" ht="19.5" hidden="false" customHeight="true" outlineLevel="0" collapsed="false">
      <c r="A2" s="7" t="s">
        <v>218</v>
      </c>
      <c r="B2" s="7"/>
      <c r="C2" s="7"/>
      <c r="D2" s="7"/>
      <c r="E2" s="7"/>
    </row>
    <row r="4" customFormat="false" ht="31.5" hidden="false" customHeight="true" outlineLevel="0" collapsed="false">
      <c r="A4" s="15" t="s">
        <v>219</v>
      </c>
      <c r="B4" s="15"/>
      <c r="C4" s="15"/>
      <c r="D4" s="15"/>
    </row>
    <row r="6" customFormat="false" ht="45.75" hidden="false" customHeight="true" outlineLevel="0" collapsed="false">
      <c r="A6" s="31" t="s">
        <v>220</v>
      </c>
      <c r="B6" s="32" t="s">
        <v>221</v>
      </c>
      <c r="C6" s="33" t="s">
        <v>222</v>
      </c>
      <c r="D6" s="34"/>
      <c r="E6" s="35" t="s">
        <v>223</v>
      </c>
    </row>
    <row r="7" customFormat="false" ht="15" hidden="false" customHeight="false" outlineLevel="0" collapsed="false">
      <c r="C7" s="33" t="s">
        <v>224</v>
      </c>
      <c r="D7" s="34"/>
      <c r="E7" s="35" t="s">
        <v>225</v>
      </c>
    </row>
    <row r="9" customFormat="false" ht="45.75" hidden="false" customHeight="true" outlineLevel="0" collapsed="false">
      <c r="A9" s="31" t="s">
        <v>226</v>
      </c>
      <c r="B9" s="32" t="s">
        <v>227</v>
      </c>
      <c r="C9" s="33" t="s">
        <v>228</v>
      </c>
      <c r="D9" s="34"/>
      <c r="E9" s="35" t="s">
        <v>229</v>
      </c>
    </row>
    <row r="11" customFormat="false" ht="45.75" hidden="false" customHeight="true" outlineLevel="0" collapsed="false">
      <c r="A11" s="31" t="s">
        <v>230</v>
      </c>
      <c r="B11" s="32" t="s">
        <v>231</v>
      </c>
      <c r="C11" s="33" t="s">
        <v>232</v>
      </c>
      <c r="D11" s="34"/>
      <c r="E11" s="35" t="s">
        <v>233</v>
      </c>
    </row>
    <row r="13" customFormat="false" ht="45.75" hidden="false" customHeight="true" outlineLevel="0" collapsed="false">
      <c r="A13" s="31" t="s">
        <v>234</v>
      </c>
      <c r="B13" s="32" t="s">
        <v>235</v>
      </c>
      <c r="C13" s="33" t="s">
        <v>236</v>
      </c>
      <c r="D13" s="34"/>
      <c r="E13" s="35" t="s">
        <v>237</v>
      </c>
    </row>
    <row r="15" customFormat="false" ht="45.75" hidden="false" customHeight="true" outlineLevel="0" collapsed="false">
      <c r="A15" s="31" t="s">
        <v>238</v>
      </c>
      <c r="B15" s="32" t="s">
        <v>239</v>
      </c>
      <c r="C15" s="33" t="s">
        <v>240</v>
      </c>
      <c r="D15" s="34"/>
      <c r="E15" s="35" t="s">
        <v>241</v>
      </c>
    </row>
  </sheetData>
  <mergeCells count="3">
    <mergeCell ref="A1:E1"/>
    <mergeCell ref="A2:E2"/>
    <mergeCell ref="A4:D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34"/>
    <col collapsed="false" customWidth="true" hidden="false" outlineLevel="0" max="4" min="4" style="0" width="18"/>
  </cols>
  <sheetData>
    <row r="1" customFormat="false" ht="30" hidden="false" customHeight="true" outlineLevel="0" collapsed="false">
      <c r="A1" s="6" t="s">
        <v>111</v>
      </c>
      <c r="B1" s="6"/>
      <c r="C1" s="6"/>
      <c r="D1" s="6"/>
    </row>
    <row r="2" customFormat="false" ht="19.5" hidden="false" customHeight="true" outlineLevel="0" collapsed="false">
      <c r="A2" s="7" t="s">
        <v>242</v>
      </c>
      <c r="B2" s="7"/>
      <c r="C2" s="7"/>
      <c r="D2" s="7"/>
    </row>
    <row r="4" customFormat="false" ht="21.75" hidden="false" customHeight="true" outlineLevel="0" collapsed="false">
      <c r="A4" s="9" t="s">
        <v>243</v>
      </c>
      <c r="B4" s="9"/>
      <c r="C4" s="9"/>
      <c r="D4" s="9"/>
      <c r="E4" s="9"/>
      <c r="F4" s="9"/>
      <c r="G4" s="9"/>
      <c r="H4" s="9"/>
    </row>
    <row r="5" customFormat="false" ht="15" hidden="false" customHeight="false" outlineLevel="0" collapsed="false">
      <c r="B5" s="1" t="s">
        <v>244</v>
      </c>
      <c r="C5" s="1" t="s">
        <v>245</v>
      </c>
      <c r="D5" s="1" t="s">
        <v>246</v>
      </c>
    </row>
    <row r="6" customFormat="false" ht="15" hidden="false" customHeight="false" outlineLevel="0" collapsed="false">
      <c r="B6" s="16" t="s">
        <v>247</v>
      </c>
      <c r="C6" s="36" t="s">
        <v>223</v>
      </c>
      <c r="D6" s="37" t="n">
        <f aca="false">SLOPE(ln_trade, ln_gdp_i)</f>
        <v>1.14049524401851</v>
      </c>
    </row>
    <row r="7" customFormat="false" ht="15" hidden="false" customHeight="false" outlineLevel="0" collapsed="false">
      <c r="B7" s="16" t="s">
        <v>248</v>
      </c>
      <c r="C7" s="36" t="s">
        <v>225</v>
      </c>
      <c r="D7" s="37" t="n">
        <f aca="false">RSQ(ln_trade, ln_gdp_i)</f>
        <v>0.193364555793982</v>
      </c>
    </row>
    <row r="8" customFormat="false" ht="20.85" hidden="false" customHeight="false" outlineLevel="0" collapsed="false">
      <c r="B8" s="16" t="s">
        <v>249</v>
      </c>
      <c r="C8" s="36" t="s">
        <v>229</v>
      </c>
      <c r="D8" s="37" t="n">
        <f aca="false">INDEX(LINEST(ln_trade,Data!J2:K201,TRUE(),TRUE()),1,2)</f>
        <v>-0.774223459266973</v>
      </c>
    </row>
    <row r="9" customFormat="false" ht="20.85" hidden="false" customHeight="false" outlineLevel="0" collapsed="false">
      <c r="B9" s="16" t="s">
        <v>250</v>
      </c>
      <c r="C9" s="36" t="s">
        <v>251</v>
      </c>
      <c r="D9" s="38" t="n">
        <f aca="false">(EXP(INDEX(LINEST(ln_trade,X_full,TRUE(),TRUE()),1,1))-1)</f>
        <v>2.08082434398016</v>
      </c>
    </row>
    <row r="10" customFormat="false" ht="20.85" hidden="false" customHeight="false" outlineLevel="0" collapsed="false">
      <c r="B10" s="16" t="s">
        <v>252</v>
      </c>
      <c r="C10" s="36" t="s">
        <v>253</v>
      </c>
      <c r="D10" s="25" t="n">
        <f aca="false">EXP(INTERCEPT(ln_trade,ln_dist)+SLOPE(ln_trade,ln_dist)*LN(9000))</f>
        <v>615668.067585242</v>
      </c>
    </row>
    <row r="11" customFormat="false" ht="39.75" hidden="false" customHeight="true" outlineLevel="0" collapsed="false">
      <c r="B11" s="16" t="s">
        <v>254</v>
      </c>
      <c r="C11" s="39" t="s">
        <v>255</v>
      </c>
      <c r="D11" s="39"/>
    </row>
    <row r="13" customFormat="false" ht="21.75" hidden="false" customHeight="true" outlineLevel="0" collapsed="false">
      <c r="A13" s="9" t="s">
        <v>256</v>
      </c>
      <c r="B13" s="9"/>
      <c r="C13" s="9"/>
      <c r="D13" s="9"/>
      <c r="E13" s="9"/>
      <c r="F13" s="9"/>
      <c r="G13" s="9"/>
      <c r="H13" s="9"/>
    </row>
    <row r="14" customFormat="false" ht="27.75" hidden="false" customHeight="true" outlineLevel="0" collapsed="false">
      <c r="A14" s="15" t="s">
        <v>257</v>
      </c>
      <c r="B14" s="15"/>
      <c r="C14" s="15"/>
      <c r="D14" s="15"/>
    </row>
    <row r="15" customFormat="false" ht="21.75" hidden="false" customHeight="true" outlineLevel="0" collapsed="false">
      <c r="A15" s="40" t="s">
        <v>258</v>
      </c>
      <c r="B15" s="40"/>
      <c r="C15" s="40"/>
      <c r="D15" s="40"/>
    </row>
    <row r="16" customFormat="false" ht="15" hidden="false" customHeight="false" outlineLevel="0" collapsed="false">
      <c r="B16" s="1" t="s">
        <v>167</v>
      </c>
      <c r="C16" s="1" t="s">
        <v>168</v>
      </c>
      <c r="D16" s="1" t="s">
        <v>170</v>
      </c>
    </row>
    <row r="17" customFormat="false" ht="15" hidden="false" customHeight="false" outlineLevel="0" collapsed="false">
      <c r="B17" s="16" t="s">
        <v>173</v>
      </c>
      <c r="C17" s="28" t="n">
        <v>20.6792</v>
      </c>
      <c r="D17" s="41" t="n">
        <v>10.748</v>
      </c>
    </row>
    <row r="18" customFormat="false" ht="15" hidden="false" customHeight="false" outlineLevel="0" collapsed="false">
      <c r="B18" s="16" t="s">
        <v>9</v>
      </c>
      <c r="C18" s="28" t="n">
        <v>-0.8071</v>
      </c>
      <c r="D18" s="41" t="n">
        <v>-3.668</v>
      </c>
    </row>
    <row r="19" customFormat="false" ht="15" hidden="false" customHeight="false" outlineLevel="0" collapsed="false">
      <c r="B19" s="42" t="s">
        <v>259</v>
      </c>
      <c r="C19" s="42"/>
      <c r="D19" s="42"/>
    </row>
    <row r="21" customFormat="false" ht="21.75" hidden="false" customHeight="true" outlineLevel="0" collapsed="false">
      <c r="A21" s="40" t="s">
        <v>260</v>
      </c>
      <c r="B21" s="40"/>
      <c r="C21" s="40"/>
      <c r="D21" s="40"/>
    </row>
    <row r="22" customFormat="false" ht="15" hidden="false" customHeight="false" outlineLevel="0" collapsed="false">
      <c r="B22" s="1" t="s">
        <v>167</v>
      </c>
      <c r="C22" s="1" t="s">
        <v>168</v>
      </c>
      <c r="D22" s="1" t="s">
        <v>170</v>
      </c>
    </row>
    <row r="23" customFormat="false" ht="15" hidden="false" customHeight="false" outlineLevel="0" collapsed="false">
      <c r="B23" s="16" t="s">
        <v>173</v>
      </c>
      <c r="C23" s="28" t="n">
        <v>-6.4224</v>
      </c>
      <c r="D23" s="41" t="n">
        <v>-1.923</v>
      </c>
    </row>
    <row r="24" customFormat="false" ht="15" hidden="false" customHeight="false" outlineLevel="0" collapsed="false">
      <c r="B24" s="16" t="s">
        <v>9</v>
      </c>
      <c r="C24" s="28" t="n">
        <v>-0.8338</v>
      </c>
      <c r="D24" s="41" t="n">
        <v>-4.521</v>
      </c>
    </row>
    <row r="25" customFormat="false" ht="15" hidden="false" customHeight="false" outlineLevel="0" collapsed="false">
      <c r="B25" s="16" t="s">
        <v>10</v>
      </c>
      <c r="C25" s="28" t="n">
        <v>1.0471</v>
      </c>
      <c r="D25" s="41" t="n">
        <v>6.985</v>
      </c>
    </row>
    <row r="26" customFormat="false" ht="15" hidden="false" customHeight="false" outlineLevel="0" collapsed="false">
      <c r="B26" s="16" t="s">
        <v>11</v>
      </c>
      <c r="C26" s="28" t="n">
        <v>0.8916</v>
      </c>
      <c r="D26" s="41" t="n">
        <v>5.486</v>
      </c>
    </row>
    <row r="27" customFormat="false" ht="15" hidden="false" customHeight="false" outlineLevel="0" collapsed="false">
      <c r="B27" s="42" t="s">
        <v>261</v>
      </c>
      <c r="C27" s="42"/>
      <c r="D27" s="42"/>
    </row>
    <row r="29" customFormat="false" ht="21.75" hidden="false" customHeight="true" outlineLevel="0" collapsed="false">
      <c r="A29" s="40" t="s">
        <v>262</v>
      </c>
      <c r="B29" s="40"/>
      <c r="C29" s="40"/>
      <c r="D29" s="40"/>
    </row>
    <row r="30" customFormat="false" ht="15" hidden="false" customHeight="false" outlineLevel="0" collapsed="false">
      <c r="B30" s="1" t="s">
        <v>167</v>
      </c>
      <c r="C30" s="1" t="s">
        <v>168</v>
      </c>
      <c r="D30" s="1" t="s">
        <v>170</v>
      </c>
    </row>
    <row r="31" customFormat="false" ht="15" hidden="false" customHeight="false" outlineLevel="0" collapsed="false">
      <c r="B31" s="16" t="s">
        <v>173</v>
      </c>
      <c r="C31" s="28" t="n">
        <v>-8.8159</v>
      </c>
      <c r="D31" s="41" t="n">
        <v>-2.597</v>
      </c>
    </row>
    <row r="32" customFormat="false" ht="15" hidden="false" customHeight="false" outlineLevel="0" collapsed="false">
      <c r="B32" s="16" t="s">
        <v>9</v>
      </c>
      <c r="C32" s="28" t="n">
        <v>-0.7231</v>
      </c>
      <c r="D32" s="41" t="n">
        <v>-3.251</v>
      </c>
    </row>
    <row r="33" customFormat="false" ht="15" hidden="false" customHeight="false" outlineLevel="0" collapsed="false">
      <c r="B33" s="16" t="s">
        <v>10</v>
      </c>
      <c r="C33" s="28" t="n">
        <v>1.0451</v>
      </c>
      <c r="D33" s="41" t="n">
        <v>7.173</v>
      </c>
    </row>
    <row r="34" customFormat="false" ht="15" hidden="false" customHeight="false" outlineLevel="0" collapsed="false">
      <c r="B34" s="16" t="s">
        <v>11</v>
      </c>
      <c r="C34" s="28" t="n">
        <v>0.9666</v>
      </c>
      <c r="D34" s="41" t="n">
        <v>6.098</v>
      </c>
    </row>
    <row r="35" customFormat="false" ht="15" hidden="false" customHeight="false" outlineLevel="0" collapsed="false">
      <c r="B35" s="16" t="s">
        <v>12</v>
      </c>
      <c r="C35" s="28" t="n">
        <v>-1.8062</v>
      </c>
      <c r="D35" s="41" t="n">
        <v>-2.447</v>
      </c>
    </row>
    <row r="36" customFormat="false" ht="15" hidden="false" customHeight="false" outlineLevel="0" collapsed="false">
      <c r="B36" s="16" t="s">
        <v>13</v>
      </c>
      <c r="C36" s="28" t="n">
        <v>0.5453</v>
      </c>
      <c r="D36" s="41" t="n">
        <v>1.942</v>
      </c>
    </row>
    <row r="37" customFormat="false" ht="15" hidden="false" customHeight="false" outlineLevel="0" collapsed="false">
      <c r="B37" s="16" t="s">
        <v>14</v>
      </c>
      <c r="C37" s="28" t="n">
        <v>1.1252</v>
      </c>
      <c r="D37" s="41" t="n">
        <v>3.138</v>
      </c>
    </row>
    <row r="38" customFormat="false" ht="15" hidden="false" customHeight="false" outlineLevel="0" collapsed="false">
      <c r="B38" s="42" t="s">
        <v>263</v>
      </c>
      <c r="C38" s="42"/>
      <c r="D38" s="42"/>
    </row>
  </sheetData>
  <mergeCells count="12">
    <mergeCell ref="A1:D1"/>
    <mergeCell ref="A2:D2"/>
    <mergeCell ref="A4:H4"/>
    <mergeCell ref="C11:D11"/>
    <mergeCell ref="A13:H13"/>
    <mergeCell ref="A14:D14"/>
    <mergeCell ref="A15:D15"/>
    <mergeCell ref="B19:D19"/>
    <mergeCell ref="A21:D21"/>
    <mergeCell ref="B27:D27"/>
    <mergeCell ref="A29:D29"/>
    <mergeCell ref="B38:D3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2026-06-08T16:40:47Z</dcterms:created>
  <dc:creator>openpyxl</dc:creator>
  <dc:description/>
  <dc:language>en-US</dc:language>
  <cp:lastModifiedBy/>
  <dcterms:modified xsi:type="dcterms:W3CDTF">2026-06-08T11:40:52Z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